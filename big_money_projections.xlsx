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joshbaltzell/Documents/GitHub/FF Trade Identifier/"/>
    </mc:Choice>
  </mc:AlternateContent>
  <xr:revisionPtr revIDLastSave="0" documentId="8_{148A2F74-4578-8947-A091-02958C0E4239}" xr6:coauthVersionLast="47" xr6:coauthVersionMax="47" xr10:uidLastSave="{00000000-0000-0000-0000-000000000000}"/>
  <bookViews>
    <workbookView xWindow="2500" yWindow="3980" windowWidth="30400" windowHeight="22420" tabRatio="500" xr2:uid="{00000000-000D-0000-FFFF-FFFF00000000}"/>
  </bookViews>
  <sheets>
    <sheet name="Weekly Projections" sheetId="1" r:id="rId1"/>
    <sheet name="Team Weekly Totals" sheetId="2" r:id="rId2"/>
    <sheet name="Players on Bye" sheetId="3" r:id="rId3"/>
    <sheet name="By Position" sheetId="4" r:id="rId4"/>
    <sheet name="Bye Schedule" sheetId="5" r:id="rId5"/>
    <sheet name="Notes" sheetId="6" r:id="rId6"/>
  </sheets>
  <definedNames>
    <definedName name="_xlnm._FilterDatabase" localSheetId="0" hidden="1">'Weekly Projections'!$A$1:$Y$161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3" i="5" l="1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T13" i="3" s="1"/>
  <c r="B13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T12" i="3" s="1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T11" i="3" s="1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T10" i="3" s="1"/>
  <c r="F10" i="3"/>
  <c r="E10" i="3"/>
  <c r="D10" i="3"/>
  <c r="C10" i="3"/>
  <c r="B10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T9" i="3" s="1"/>
  <c r="B9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T8" i="3" s="1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T7" i="3" s="1"/>
  <c r="B7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T6" i="3" s="1"/>
  <c r="B6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T5" i="3" s="1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/>
  <c r="T4" i="3" s="1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U13" i="2" s="1"/>
  <c r="C13" i="2"/>
  <c r="B13" i="2"/>
  <c r="T13" i="2" s="1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U12" i="2" s="1"/>
  <c r="C12" i="2"/>
  <c r="B12" i="2"/>
  <c r="T12" i="2" s="1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U11" i="2" s="1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U10" i="2" s="1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U9" i="2" s="1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U8" i="2" s="1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U7" i="2" s="1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U6" i="2" s="1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U5" i="2" s="1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U4" i="2" s="1"/>
  <c r="Y161" i="1"/>
  <c r="X161" i="1"/>
  <c r="Y160" i="1"/>
  <c r="X160" i="1"/>
  <c r="G13" i="4" s="1"/>
  <c r="Y159" i="1"/>
  <c r="X159" i="1"/>
  <c r="Y158" i="1"/>
  <c r="X158" i="1"/>
  <c r="F13" i="4" s="1"/>
  <c r="Y157" i="1"/>
  <c r="X157" i="1"/>
  <c r="Y156" i="1"/>
  <c r="X156" i="1"/>
  <c r="E13" i="4" s="1"/>
  <c r="Y155" i="1"/>
  <c r="X155" i="1"/>
  <c r="Y154" i="1"/>
  <c r="X154" i="1"/>
  <c r="Y153" i="1"/>
  <c r="X153" i="1"/>
  <c r="Y152" i="1"/>
  <c r="X152" i="1"/>
  <c r="D13" i="4" s="1"/>
  <c r="Y151" i="1"/>
  <c r="X151" i="1"/>
  <c r="Y150" i="1"/>
  <c r="X150" i="1"/>
  <c r="Y149" i="1"/>
  <c r="X149" i="1"/>
  <c r="Y148" i="1"/>
  <c r="X148" i="1"/>
  <c r="C13" i="4" s="1"/>
  <c r="Y147" i="1"/>
  <c r="X147" i="1"/>
  <c r="Y146" i="1"/>
  <c r="X146" i="1"/>
  <c r="B13" i="4" s="1"/>
  <c r="Y145" i="1"/>
  <c r="X145" i="1"/>
  <c r="Y144" i="1"/>
  <c r="X144" i="1"/>
  <c r="G12" i="4" s="1"/>
  <c r="Y143" i="1"/>
  <c r="X143" i="1"/>
  <c r="Y142" i="1"/>
  <c r="X142" i="1"/>
  <c r="F12" i="4" s="1"/>
  <c r="Y141" i="1"/>
  <c r="X141" i="1"/>
  <c r="Y140" i="1"/>
  <c r="X140" i="1"/>
  <c r="E12" i="4" s="1"/>
  <c r="Y139" i="1"/>
  <c r="X139" i="1"/>
  <c r="Y138" i="1"/>
  <c r="X138" i="1"/>
  <c r="Y137" i="1"/>
  <c r="X137" i="1"/>
  <c r="Y136" i="1"/>
  <c r="X136" i="1"/>
  <c r="D12" i="4" s="1"/>
  <c r="Y135" i="1"/>
  <c r="X135" i="1"/>
  <c r="Y134" i="1"/>
  <c r="X134" i="1"/>
  <c r="Y133" i="1"/>
  <c r="X133" i="1"/>
  <c r="Y132" i="1"/>
  <c r="X132" i="1"/>
  <c r="C12" i="4" s="1"/>
  <c r="Y131" i="1"/>
  <c r="X131" i="1"/>
  <c r="Y130" i="1"/>
  <c r="X130" i="1"/>
  <c r="B12" i="4" s="1"/>
  <c r="Y129" i="1"/>
  <c r="X129" i="1"/>
  <c r="Y128" i="1"/>
  <c r="X128" i="1"/>
  <c r="G11" i="4" s="1"/>
  <c r="Y127" i="1"/>
  <c r="X127" i="1"/>
  <c r="Y126" i="1"/>
  <c r="X126" i="1"/>
  <c r="F11" i="4" s="1"/>
  <c r="Y125" i="1"/>
  <c r="X125" i="1"/>
  <c r="Y124" i="1"/>
  <c r="X124" i="1"/>
  <c r="E11" i="4" s="1"/>
  <c r="Y123" i="1"/>
  <c r="X123" i="1"/>
  <c r="Y122" i="1"/>
  <c r="X122" i="1"/>
  <c r="Y121" i="1"/>
  <c r="X121" i="1"/>
  <c r="Y120" i="1"/>
  <c r="X120" i="1"/>
  <c r="D11" i="4" s="1"/>
  <c r="Y119" i="1"/>
  <c r="X119" i="1"/>
  <c r="Y118" i="1"/>
  <c r="X118" i="1"/>
  <c r="Y117" i="1"/>
  <c r="X117" i="1"/>
  <c r="Y116" i="1"/>
  <c r="X116" i="1"/>
  <c r="C11" i="4" s="1"/>
  <c r="Y115" i="1"/>
  <c r="X115" i="1"/>
  <c r="Y114" i="1"/>
  <c r="X114" i="1"/>
  <c r="B11" i="4" s="1"/>
  <c r="H11" i="4" s="1"/>
  <c r="Y113" i="1"/>
  <c r="X113" i="1"/>
  <c r="Y112" i="1"/>
  <c r="X112" i="1"/>
  <c r="G10" i="4" s="1"/>
  <c r="Y111" i="1"/>
  <c r="X111" i="1"/>
  <c r="Y110" i="1"/>
  <c r="X110" i="1"/>
  <c r="F10" i="4" s="1"/>
  <c r="Y109" i="1"/>
  <c r="X109" i="1"/>
  <c r="Y108" i="1"/>
  <c r="X108" i="1"/>
  <c r="E10" i="4" s="1"/>
  <c r="Y107" i="1"/>
  <c r="X107" i="1"/>
  <c r="Y106" i="1"/>
  <c r="X106" i="1"/>
  <c r="Y105" i="1"/>
  <c r="X105" i="1"/>
  <c r="Y104" i="1"/>
  <c r="X104" i="1"/>
  <c r="D10" i="4" s="1"/>
  <c r="Y103" i="1"/>
  <c r="X103" i="1"/>
  <c r="Y102" i="1"/>
  <c r="X102" i="1"/>
  <c r="Y101" i="1"/>
  <c r="X101" i="1"/>
  <c r="Y100" i="1"/>
  <c r="X100" i="1"/>
  <c r="C10" i="4" s="1"/>
  <c r="Y99" i="1"/>
  <c r="X99" i="1"/>
  <c r="Y98" i="1"/>
  <c r="X98" i="1"/>
  <c r="B10" i="4" s="1"/>
  <c r="Y97" i="1"/>
  <c r="X97" i="1"/>
  <c r="Y96" i="1"/>
  <c r="X96" i="1"/>
  <c r="G9" i="4" s="1"/>
  <c r="Y95" i="1"/>
  <c r="X95" i="1"/>
  <c r="Y94" i="1"/>
  <c r="X94" i="1"/>
  <c r="F9" i="4" s="1"/>
  <c r="Y93" i="1"/>
  <c r="X93" i="1"/>
  <c r="Y92" i="1"/>
  <c r="X92" i="1"/>
  <c r="E9" i="4" s="1"/>
  <c r="Y91" i="1"/>
  <c r="X91" i="1"/>
  <c r="Y90" i="1"/>
  <c r="X90" i="1"/>
  <c r="Y89" i="1"/>
  <c r="X89" i="1"/>
  <c r="Y88" i="1"/>
  <c r="X88" i="1"/>
  <c r="D9" i="4" s="1"/>
  <c r="Y87" i="1"/>
  <c r="X87" i="1"/>
  <c r="Y86" i="1"/>
  <c r="X86" i="1"/>
  <c r="Y85" i="1"/>
  <c r="X85" i="1"/>
  <c r="Y84" i="1"/>
  <c r="X84" i="1"/>
  <c r="C9" i="4" s="1"/>
  <c r="Y83" i="1"/>
  <c r="X83" i="1"/>
  <c r="Y82" i="1"/>
  <c r="X82" i="1"/>
  <c r="B9" i="4" s="1"/>
  <c r="Y81" i="1"/>
  <c r="X81" i="1"/>
  <c r="Y80" i="1"/>
  <c r="X80" i="1"/>
  <c r="G8" i="4" s="1"/>
  <c r="Y79" i="1"/>
  <c r="X79" i="1"/>
  <c r="Y78" i="1"/>
  <c r="X78" i="1"/>
  <c r="F8" i="4" s="1"/>
  <c r="Y77" i="1"/>
  <c r="X77" i="1"/>
  <c r="Y76" i="1"/>
  <c r="X76" i="1"/>
  <c r="E8" i="4" s="1"/>
  <c r="Y75" i="1"/>
  <c r="X75" i="1"/>
  <c r="Y74" i="1"/>
  <c r="X74" i="1"/>
  <c r="Y73" i="1"/>
  <c r="X73" i="1"/>
  <c r="Y72" i="1"/>
  <c r="X72" i="1"/>
  <c r="D8" i="4" s="1"/>
  <c r="Y71" i="1"/>
  <c r="X71" i="1"/>
  <c r="Y70" i="1"/>
  <c r="X70" i="1"/>
  <c r="Y69" i="1"/>
  <c r="X69" i="1"/>
  <c r="Y68" i="1"/>
  <c r="X68" i="1"/>
  <c r="C8" i="4" s="1"/>
  <c r="Y67" i="1"/>
  <c r="X67" i="1"/>
  <c r="Y66" i="1"/>
  <c r="X66" i="1"/>
  <c r="B8" i="4" s="1"/>
  <c r="Y65" i="1"/>
  <c r="X65" i="1"/>
  <c r="Y64" i="1"/>
  <c r="X64" i="1"/>
  <c r="G7" i="4" s="1"/>
  <c r="Y63" i="1"/>
  <c r="X63" i="1"/>
  <c r="Y62" i="1"/>
  <c r="X62" i="1"/>
  <c r="F7" i="4" s="1"/>
  <c r="Y61" i="1"/>
  <c r="X61" i="1"/>
  <c r="Y60" i="1"/>
  <c r="X60" i="1"/>
  <c r="E7" i="4" s="1"/>
  <c r="Y59" i="1"/>
  <c r="X59" i="1"/>
  <c r="Y58" i="1"/>
  <c r="X58" i="1"/>
  <c r="Y57" i="1"/>
  <c r="X57" i="1"/>
  <c r="Y56" i="1"/>
  <c r="X56" i="1"/>
  <c r="D7" i="4" s="1"/>
  <c r="Y55" i="1"/>
  <c r="X55" i="1"/>
  <c r="Y54" i="1"/>
  <c r="X54" i="1"/>
  <c r="Y53" i="1"/>
  <c r="X53" i="1"/>
  <c r="Y52" i="1"/>
  <c r="X52" i="1"/>
  <c r="C7" i="4" s="1"/>
  <c r="Y51" i="1"/>
  <c r="X51" i="1"/>
  <c r="Y50" i="1"/>
  <c r="X50" i="1"/>
  <c r="B7" i="4" s="1"/>
  <c r="Y49" i="1"/>
  <c r="X49" i="1"/>
  <c r="Y48" i="1"/>
  <c r="X48" i="1"/>
  <c r="G6" i="4" s="1"/>
  <c r="Y47" i="1"/>
  <c r="X47" i="1"/>
  <c r="Y46" i="1"/>
  <c r="X46" i="1"/>
  <c r="F6" i="4" s="1"/>
  <c r="Y45" i="1"/>
  <c r="X45" i="1"/>
  <c r="Y44" i="1"/>
  <c r="X44" i="1"/>
  <c r="E6" i="4" s="1"/>
  <c r="Y43" i="1"/>
  <c r="X43" i="1"/>
  <c r="Y42" i="1"/>
  <c r="X42" i="1"/>
  <c r="Y41" i="1"/>
  <c r="X41" i="1"/>
  <c r="Y40" i="1"/>
  <c r="X40" i="1"/>
  <c r="D6" i="4" s="1"/>
  <c r="Y39" i="1"/>
  <c r="X39" i="1"/>
  <c r="Y38" i="1"/>
  <c r="X38" i="1"/>
  <c r="Y37" i="1"/>
  <c r="X37" i="1"/>
  <c r="Y36" i="1"/>
  <c r="X36" i="1"/>
  <c r="C6" i="4" s="1"/>
  <c r="Y35" i="1"/>
  <c r="X35" i="1"/>
  <c r="Y34" i="1"/>
  <c r="X34" i="1"/>
  <c r="B6" i="4" s="1"/>
  <c r="H6" i="4" s="1"/>
  <c r="Y33" i="1"/>
  <c r="X33" i="1"/>
  <c r="Y32" i="1"/>
  <c r="X32" i="1"/>
  <c r="G5" i="4" s="1"/>
  <c r="Y31" i="1"/>
  <c r="X31" i="1"/>
  <c r="Y30" i="1"/>
  <c r="X30" i="1"/>
  <c r="F5" i="4" s="1"/>
  <c r="Y29" i="1"/>
  <c r="X29" i="1"/>
  <c r="Y28" i="1"/>
  <c r="X28" i="1"/>
  <c r="E5" i="4" s="1"/>
  <c r="Y27" i="1"/>
  <c r="X27" i="1"/>
  <c r="Y26" i="1"/>
  <c r="X26" i="1"/>
  <c r="Y25" i="1"/>
  <c r="X25" i="1"/>
  <c r="Y24" i="1"/>
  <c r="X24" i="1"/>
  <c r="D5" i="4" s="1"/>
  <c r="Y23" i="1"/>
  <c r="X23" i="1"/>
  <c r="Y22" i="1"/>
  <c r="X22" i="1"/>
  <c r="Y21" i="1"/>
  <c r="X21" i="1"/>
  <c r="Y20" i="1"/>
  <c r="X20" i="1"/>
  <c r="C5" i="4" s="1"/>
  <c r="Y19" i="1"/>
  <c r="X19" i="1"/>
  <c r="Y18" i="1"/>
  <c r="X18" i="1"/>
  <c r="B5" i="4" s="1"/>
  <c r="Y17" i="1"/>
  <c r="X17" i="1"/>
  <c r="Y16" i="1"/>
  <c r="X16" i="1"/>
  <c r="G4" i="4" s="1"/>
  <c r="Y15" i="1"/>
  <c r="X15" i="1"/>
  <c r="Y14" i="1"/>
  <c r="X14" i="1"/>
  <c r="F4" i="4" s="1"/>
  <c r="Y13" i="1"/>
  <c r="X13" i="1"/>
  <c r="Y12" i="1"/>
  <c r="X12" i="1"/>
  <c r="E4" i="4" s="1"/>
  <c r="Y11" i="1"/>
  <c r="X11" i="1"/>
  <c r="Y10" i="1"/>
  <c r="X10" i="1"/>
  <c r="Y9" i="1"/>
  <c r="X9" i="1"/>
  <c r="Y8" i="1"/>
  <c r="X8" i="1"/>
  <c r="D4" i="4" s="1"/>
  <c r="Y7" i="1"/>
  <c r="X7" i="1"/>
  <c r="Y6" i="1"/>
  <c r="X6" i="1"/>
  <c r="Y5" i="1"/>
  <c r="X5" i="1"/>
  <c r="Y4" i="1"/>
  <c r="X4" i="1"/>
  <c r="C4" i="4" s="1"/>
  <c r="Y3" i="1"/>
  <c r="X3" i="1"/>
  <c r="Y2" i="1"/>
  <c r="X2" i="1"/>
  <c r="B4" i="4" s="1"/>
  <c r="H5" i="4" l="1"/>
  <c r="H10" i="4"/>
  <c r="H8" i="4"/>
  <c r="H13" i="4"/>
  <c r="H7" i="4"/>
  <c r="H12" i="4"/>
  <c r="H4" i="4"/>
  <c r="H9" i="4"/>
  <c r="T4" i="2"/>
  <c r="T5" i="2"/>
  <c r="T6" i="2"/>
  <c r="T7" i="2"/>
  <c r="T8" i="2"/>
  <c r="T9" i="2"/>
  <c r="T10" i="2"/>
  <c r="T11" i="2"/>
</calcChain>
</file>

<file path=xl/sharedStrings.xml><?xml version="1.0" encoding="utf-8"?>
<sst xmlns="http://schemas.openxmlformats.org/spreadsheetml/2006/main" count="804" uniqueCount="263">
  <si>
    <t>Player</t>
  </si>
  <si>
    <t>Position</t>
  </si>
  <si>
    <t>NFL Team</t>
  </si>
  <si>
    <t>Fantasy Team</t>
  </si>
  <si>
    <t>Bye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</si>
  <si>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</si>
  <si>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</si>
  <si>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</si>
  <si>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</si>
  <si>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</si>
  <si>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</si>
  <si>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</si>
  <si>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</si>
  <si>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</si>
  <si>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</si>
  <si>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</si>
  <si>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</si>
  <si>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</si>
  <si>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Wk 14</t>
  </si>
  <si>
    <t>Wk 15</t>
  </si>
  <si>
    <t>Wk 16</t>
  </si>
  <si>
    <t>Wk 17</t>
  </si>
  <si>
    <t>Wk 18</t>
  </si>
  <si>
    <t>Season Total</t>
  </si>
  <si>
    <t>Avg/Wk (excl. bye)</t>
  </si>
  <si>
    <t>Commanders TQB</t>
  </si>
  <si>
    <t>TQB</t>
  </si>
  <si>
    <t>WSH</t>
  </si>
  <si>
    <t>Balls Deep!</t>
  </si>
  <si>
    <t>Chargers TQB</t>
  </si>
  <si>
    <t>LAC</t>
  </si>
  <si>
    <t>Derrick Henry</t>
  </si>
  <si>
    <t>RB</t>
  </si>
  <si>
    <t>BAL</t>
  </si>
  <si>
    <t>Kyren Williams</t>
  </si>
  <si>
    <t>LAR</t>
  </si>
  <si>
    <t>Rhamondre Stevenson</t>
  </si>
  <si>
    <t>NE</t>
  </si>
  <si>
    <t>Chuba Hubbard</t>
  </si>
  <si>
    <t>CAR</t>
  </si>
  <si>
    <t>CeeDee Lamb</t>
  </si>
  <si>
    <t>WR</t>
  </si>
  <si>
    <t>DAL</t>
  </si>
  <si>
    <t>Tetairoa McMillan</t>
  </si>
  <si>
    <t>Terry McLaurin</t>
  </si>
  <si>
    <t>Matthew Golden</t>
  </si>
  <si>
    <t>GB</t>
  </si>
  <si>
    <t>Trey McBride</t>
  </si>
  <si>
    <t>TE</t>
  </si>
  <si>
    <t>ARI</t>
  </si>
  <si>
    <t>Juwan Johnson</t>
  </si>
  <si>
    <t>NO</t>
  </si>
  <si>
    <t>Broncos D/ST</t>
  </si>
  <si>
    <t>D/ST</t>
  </si>
  <si>
    <t>DEN</t>
  </si>
  <si>
    <t>Jaguars D/ST</t>
  </si>
  <si>
    <t>JAX</t>
  </si>
  <si>
    <t>Ka'imi Fairbairn</t>
  </si>
  <si>
    <t>K</t>
  </si>
  <si>
    <t>HOU</t>
  </si>
  <si>
    <t>Will Reichard</t>
  </si>
  <si>
    <t>MIN</t>
  </si>
  <si>
    <t>Rams TQB</t>
  </si>
  <si>
    <t>Bengals super bowl</t>
  </si>
  <si>
    <t>Broncos TQB</t>
  </si>
  <si>
    <t>Saquon Barkley</t>
  </si>
  <si>
    <t>PHI</t>
  </si>
  <si>
    <t>Breece Hall</t>
  </si>
  <si>
    <t>NYJ</t>
  </si>
  <si>
    <t>TreVeyon Henderson</t>
  </si>
  <si>
    <t>Kaytron Allen</t>
  </si>
  <si>
    <t>Puka Nacua</t>
  </si>
  <si>
    <t>Nico Collins</t>
  </si>
  <si>
    <t>Marvin Harrison Jr.</t>
  </si>
  <si>
    <t>Makai Lemon</t>
  </si>
  <si>
    <t>Sam LaPorta</t>
  </si>
  <si>
    <t>DET</t>
  </si>
  <si>
    <t>Isaiah Likely</t>
  </si>
  <si>
    <t>NYG</t>
  </si>
  <si>
    <t>Rams D/ST</t>
  </si>
  <si>
    <t>Packers D/ST</t>
  </si>
  <si>
    <t>Chris Boswell</t>
  </si>
  <si>
    <t>PIT</t>
  </si>
  <si>
    <t>Jake Elliott</t>
  </si>
  <si>
    <t>Patriots TQB</t>
  </si>
  <si>
    <t>Can't Ceedee Ball</t>
  </si>
  <si>
    <t>Giants TQB</t>
  </si>
  <si>
    <t>Jahmyr Gibbs</t>
  </si>
  <si>
    <t>Bhayshul Tuten</t>
  </si>
  <si>
    <t>Tony Pollard</t>
  </si>
  <si>
    <t>TEN</t>
  </si>
  <si>
    <t>Jaylen Warren</t>
  </si>
  <si>
    <t>A.J. Brown</t>
  </si>
  <si>
    <t>Garrett Wilson</t>
  </si>
  <si>
    <t>Ladd McConkey</t>
  </si>
  <si>
    <t>Brian Thomas Jr.</t>
  </si>
  <si>
    <t>Brock Bowers</t>
  </si>
  <si>
    <t>LV</t>
  </si>
  <si>
    <t>Hunter Henry</t>
  </si>
  <si>
    <t>Seahawks D/ST</t>
  </si>
  <si>
    <t>SEA</t>
  </si>
  <si>
    <t>Bears D/ST</t>
  </si>
  <si>
    <t>CHI</t>
  </si>
  <si>
    <t>Harrison Mevis</t>
  </si>
  <si>
    <t>Tyler Bass</t>
  </si>
  <si>
    <t>BUF</t>
  </si>
  <si>
    <t>Bills TQB</t>
  </si>
  <si>
    <t>Enrico Paldowdle</t>
  </si>
  <si>
    <t>Colts TQB</t>
  </si>
  <si>
    <t>IND</t>
  </si>
  <si>
    <t>Jeremiyah Love</t>
  </si>
  <si>
    <t>Kenneth Walker III</t>
  </si>
  <si>
    <t>KC</t>
  </si>
  <si>
    <t>Rico Dowdle</t>
  </si>
  <si>
    <t>Isiah Pacheco</t>
  </si>
  <si>
    <t>Jaylen Waddle</t>
  </si>
  <si>
    <t>DJ Moore</t>
  </si>
  <si>
    <t>Carnell Tate</t>
  </si>
  <si>
    <t>Michael Pittman Jr.</t>
  </si>
  <si>
    <t>Harold Fannin Jr.</t>
  </si>
  <si>
    <t>CLE</t>
  </si>
  <si>
    <t>Tucker Kraft</t>
  </si>
  <si>
    <t>Eagles D/ST</t>
  </si>
  <si>
    <t>Cowboys D/ST</t>
  </si>
  <si>
    <t>Cam Little</t>
  </si>
  <si>
    <t>Andy Borregales</t>
  </si>
  <si>
    <t>49ers TQB</t>
  </si>
  <si>
    <t>SF</t>
  </si>
  <si>
    <t>KC KRUNCH XXVI</t>
  </si>
  <si>
    <t>Chiefs TQB</t>
  </si>
  <si>
    <t>Bijan Robinson</t>
  </si>
  <si>
    <t>ATL</t>
  </si>
  <si>
    <t>Travis Etienne Jr.</t>
  </si>
  <si>
    <t>David Montgomery</t>
  </si>
  <si>
    <t>Kenny Gainwell</t>
  </si>
  <si>
    <t>TB</t>
  </si>
  <si>
    <t>Drake London</t>
  </si>
  <si>
    <t>Emeka Egbuka</t>
  </si>
  <si>
    <t>Luther Burden III</t>
  </si>
  <si>
    <t>DK Metcalf</t>
  </si>
  <si>
    <t>Travis Kelce</t>
  </si>
  <si>
    <t>Kenyon Sadiq</t>
  </si>
  <si>
    <t>Browns D/ST</t>
  </si>
  <si>
    <t>Chiefs D/ST</t>
  </si>
  <si>
    <t>Jake Bates</t>
  </si>
  <si>
    <t>Nick Folk</t>
  </si>
  <si>
    <t>Jaguars TQB</t>
  </si>
  <si>
    <t>Miami Venom🏆🏆</t>
  </si>
  <si>
    <t>Bears TQB</t>
  </si>
  <si>
    <t>Chase Brown</t>
  </si>
  <si>
    <t>CIN</t>
  </si>
  <si>
    <t>Jadarian Price</t>
  </si>
  <si>
    <t>J.K. Dobbins</t>
  </si>
  <si>
    <t>Mike Washington Jr.</t>
  </si>
  <si>
    <t>Amon-Ra St. Brown</t>
  </si>
  <si>
    <t>Malik Nabers</t>
  </si>
  <si>
    <t>DeVonta Smith</t>
  </si>
  <si>
    <t>Michael Wilson</t>
  </si>
  <si>
    <t>Colston Loveland</t>
  </si>
  <si>
    <t>Brenton Strange</t>
  </si>
  <si>
    <t>Chargers D/ST</t>
  </si>
  <si>
    <t>Bengals D/ST</t>
  </si>
  <si>
    <t>Brandon Aubrey</t>
  </si>
  <si>
    <t>Evan McPherson</t>
  </si>
  <si>
    <t>Cowboys TQB</t>
  </si>
  <si>
    <t>MR. PLOW</t>
  </si>
  <si>
    <t>Seahawks TQB</t>
  </si>
  <si>
    <t>James Cook III</t>
  </si>
  <si>
    <t>Javonte Williams</t>
  </si>
  <si>
    <t>Jordan Mason</t>
  </si>
  <si>
    <t>Brian Robinson Jr.</t>
  </si>
  <si>
    <t>Jaxon Smith-Njigba</t>
  </si>
  <si>
    <t>Zay Flowers</t>
  </si>
  <si>
    <t>Tee Higgins</t>
  </si>
  <si>
    <t>Alec Pierce</t>
  </si>
  <si>
    <t>Tyler Warren</t>
  </si>
  <si>
    <t>Dalton Kincaid</t>
  </si>
  <si>
    <t>Texans D/ST</t>
  </si>
  <si>
    <t>Bills D/ST</t>
  </si>
  <si>
    <t>Jason Myers</t>
  </si>
  <si>
    <t>Blake Grupe</t>
  </si>
  <si>
    <t>Bengals TQB</t>
  </si>
  <si>
    <t>Ohio Dream Team</t>
  </si>
  <si>
    <t>Packers TQB</t>
  </si>
  <si>
    <t>Omarion Hampton</t>
  </si>
  <si>
    <t>Josh Jacobs</t>
  </si>
  <si>
    <t>D'Andre Swift</t>
  </si>
  <si>
    <t>RJ Harvey</t>
  </si>
  <si>
    <t>Ja'Marr Chase</t>
  </si>
  <si>
    <t>George Pickens</t>
  </si>
  <si>
    <t>Parker Washington</t>
  </si>
  <si>
    <t>Mike Evans</t>
  </si>
  <si>
    <t>George Kittle</t>
  </si>
  <si>
    <t>Dallas Goedert</t>
  </si>
  <si>
    <t>Patriots D/ST</t>
  </si>
  <si>
    <t>Vikings D/ST</t>
  </si>
  <si>
    <t>Eddy Pineiro</t>
  </si>
  <si>
    <t>Matt Gay</t>
  </si>
  <si>
    <t>Eagles TQB</t>
  </si>
  <si>
    <t>Perrysburg Spreadsheets</t>
  </si>
  <si>
    <t>Lions TQB</t>
  </si>
  <si>
    <t>Jonathan Taylor</t>
  </si>
  <si>
    <t>De'Von Achane</t>
  </si>
  <si>
    <t>MIA</t>
  </si>
  <si>
    <t>Quinshon Judkins</t>
  </si>
  <si>
    <t>Cam Skattebo</t>
  </si>
  <si>
    <t>Rashee Rice</t>
  </si>
  <si>
    <t>Chris Olave</t>
  </si>
  <si>
    <t>Jameson Williams</t>
  </si>
  <si>
    <t>Christian Watson</t>
  </si>
  <si>
    <t>Kyle Pitts Sr.</t>
  </si>
  <si>
    <t>Mark Andrews</t>
  </si>
  <si>
    <t>Ravens D/ST</t>
  </si>
  <si>
    <t>Lions D/ST</t>
  </si>
  <si>
    <t>Cameron Dicker</t>
  </si>
  <si>
    <t>Cairo Santos</t>
  </si>
  <si>
    <t>Ravens TQB</t>
  </si>
  <si>
    <t>Second String</t>
  </si>
  <si>
    <t>Vikings TQB</t>
  </si>
  <si>
    <t>Christian McCaffrey</t>
  </si>
  <si>
    <t>Ashton Jeanty</t>
  </si>
  <si>
    <t>Bucky Irving</t>
  </si>
  <si>
    <t>Jacory Croskey-Merritt</t>
  </si>
  <si>
    <t>Justin Jefferson</t>
  </si>
  <si>
    <t>Davante Adams</t>
  </si>
  <si>
    <t>Rome Odunze</t>
  </si>
  <si>
    <t>Courtland Sutton</t>
  </si>
  <si>
    <t>Jake Ferguson</t>
  </si>
  <si>
    <t>T.J. Hockenson</t>
  </si>
  <si>
    <t>Steelers D/ST</t>
  </si>
  <si>
    <t>Buccaneers D/ST</t>
  </si>
  <si>
    <t>Harrison Butker</t>
  </si>
  <si>
    <t>Tyler Loop</t>
  </si>
  <si>
    <t>Total projected points from every rostered player (16 per team). Bye-week players contribute 0.</t>
  </si>
  <si>
    <t>Avg/Wk</t>
  </si>
  <si>
    <t>How many rostered players each team loses to byes, week by week. High numbers = thin weeks.</t>
  </si>
  <si>
    <t>Worst Week</t>
  </si>
  <si>
    <t>Season-total projected points by position group, per fantasy team.</t>
  </si>
  <si>
    <t>Total</t>
  </si>
  <si>
    <t>Bye Week</t>
  </si>
  <si>
    <t>Rostered Players Affected</t>
  </si>
  <si>
    <t>BIG MONEY — 2026 Weekly Projections</t>
  </si>
  <si>
    <t>Source</t>
  </si>
  <si>
    <t>ESPN Fantasy API, league 153385, season 2026, pulled 2026-08-26.</t>
  </si>
  <si>
    <t>Endpoint</t>
  </si>
  <si>
    <t>lm-api-reads.fantasy.espn.com/apis/v3/games/ffl/seasons/2026/segments/0/leagues/153385?view=mRoster&amp;view=mTeam&amp;scoringPeriodId=&lt;week&gt;</t>
  </si>
  <si>
    <t>Stat selected</t>
  </si>
  <si>
    <t>stats entry where statSourceId=1 (projection), statSplitTypeId=1 (single week); field = appliedTotal.</t>
  </si>
  <si>
    <t>Scoring</t>
  </si>
  <si>
    <t>appliedTotal is already scored under this league's own settings, not generic ESPN scoring.</t>
  </si>
  <si>
    <t>Assumption — bye weeks</t>
  </si>
  <si>
    <t>ESPN returns 0.00 for skill players on bye but still returns a projection for D/ST units on bye.</t>
  </si>
  <si>
    <t>For consistency, each NFL team's bye was derived as the week where its rostered skill players all project 0,</t>
  </si>
  <si>
    <t>and every player from that team was forced to 0 for that week. Bye cells display as "BYE" and are shaded.</t>
  </si>
  <si>
    <t>Derived byes span Wk 5-14 and cover all 32 NFL teams; see the Bye Schedule tab.</t>
  </si>
  <si>
    <t>Assumption — totals</t>
  </si>
  <si>
    <t>Team Weekly Totals sums all 16 rostered players, not an optimal starting lineup.</t>
  </si>
  <si>
    <t>Treat it as roster strength, not a projected score. Pair it with the Players on Bye tab to spot thin weeks.</t>
  </si>
  <si>
    <t>Note — off-bye zeros</t>
  </si>
  <si>
    <t>A 0.0 outside a bye week is ESPN itself projecting nothing (e.g. George Kittle, Wk 1). Those are left as 0.0, not labelled BYE.</t>
  </si>
  <si>
    <t>Caveat</t>
  </si>
  <si>
    <t>ESPN regenerates projections weekly. Weeks beyond the current one are a season-long baseline and will move.</t>
  </si>
  <si>
    <t>Re-run espn_projections.py to refresh, then rebuild this workbook.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</si>
</sst>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;\-0.0;&quot;BYE&quot;"/>
    <numFmt numFmtId="166" formatCode="0;;\-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595959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/>
    <xf numFmtId="165" fontId="2" fillId="3" borderId="1" xfId="0" applyNumberFormat="1" applyFont="1" applyFill="1" applyBorder="1"/>
    <xf numFmtId="164" fontId="3" fillId="0" borderId="1" xfId="0" applyNumberFormat="1" applyFont="1" applyBorder="1"/>
    <xf numFmtId="0" fontId="4" fillId="0" borderId="0" xfId="0" applyFont="1"/>
    <xf numFmtId="0" fontId="1" fillId="2" borderId="1" xfId="0" applyFont="1" applyFill="1" applyBorder="1" applyAlignment="1">
      <alignment horizontal="center" wrapText="1"/>
    </xf>
    <xf numFmtId="0" fontId="3" fillId="0" borderId="1" xfId="0" applyFont="1" applyBorder="1"/>
    <xf numFmtId="166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2">
    <dxf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1"/>
  <sheetViews>
    <sheetView tabSelected="1"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D7" sqref="D7"/>
    </sheetView>
  </sheetViews>
  <sheetFormatPr baseColWidth="10" defaultColWidth="8.6640625" defaultRowHeight="15" x14ac:dyDescent="0.2"/>
  <cols>
    <col min="1" max="1" width="24" customWidth="1"/>
    <col min="2" max="2" width="9" customWidth="1"/>
    <col min="3" max="3" width="10" customWidth="1"/>
    <col min="4" max="4" width="24" customWidth="1"/>
    <col min="5" max="5" width="6" customWidth="1"/>
    <col min="6" max="23" width="7.5" customWidth="1"/>
    <col min="24" max="24" width="12" customWidth="1"/>
    <col min="25" max="25" width="13" customWidth="1"/>
  </cols>
  <sheetData>
    <row r="1" spans="1:25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 t="s">
        <v>25</v>
      </c>
      <c r="B2" s="3" t="s">
        <v>26</v>
      </c>
      <c r="C2" s="3" t="s">
        <v>27</v>
      </c>
      <c r="D2" s="2" t="s">
        <v>28</v>
      </c>
      <c r="E2" s="4">
        <v>7</v>
      </c>
      <c r="F2" s="5">
        <v>19.510000000000002</v>
      </c>
      <c r="G2" s="5">
        <v>21.45</v>
      </c>
      <c r="H2" s="5">
        <v>19.96</v>
      </c>
      <c r="I2" s="5">
        <v>22.32</v>
      </c>
      <c r="J2" s="5">
        <v>22.85</v>
      </c>
      <c r="K2" s="5">
        <v>21.48</v>
      </c>
      <c r="L2" s="6">
        <v>0</v>
      </c>
      <c r="M2" s="5">
        <v>20.54</v>
      </c>
      <c r="N2" s="5">
        <v>20.12</v>
      </c>
      <c r="O2" s="5">
        <v>21.84</v>
      </c>
      <c r="P2" s="5">
        <v>23.34</v>
      </c>
      <c r="Q2" s="5">
        <v>23.13</v>
      </c>
      <c r="R2" s="5">
        <v>22.2</v>
      </c>
      <c r="S2" s="5">
        <v>18.989999999999998</v>
      </c>
      <c r="T2" s="5">
        <v>23.72</v>
      </c>
      <c r="U2" s="5">
        <v>21.46</v>
      </c>
      <c r="V2" s="5">
        <v>21.42</v>
      </c>
      <c r="W2" s="5">
        <v>22.16</v>
      </c>
      <c r="X2" s="7">
        <f t="shared" ref="X2:X33" si="0">SUM(F2:W2)</f>
        <v>366.49000000000007</v>
      </c>
      <c r="Y2" s="5">
        <f t="shared" ref="Y2:Y33" si="1">IFERROR(AVERAGEIF(F2:W2,"&gt;0"),0)</f>
        <v>21.558235294117651</v>
      </c>
    </row>
    <row r="3" spans="1:25" x14ac:dyDescent="0.2">
      <c r="A3" s="2" t="s">
        <v>29</v>
      </c>
      <c r="B3" s="3" t="s">
        <v>26</v>
      </c>
      <c r="C3" s="3" t="s">
        <v>30</v>
      </c>
      <c r="D3" s="2" t="s">
        <v>28</v>
      </c>
      <c r="E3" s="4">
        <v>7</v>
      </c>
      <c r="F3" s="5">
        <v>22.13</v>
      </c>
      <c r="G3" s="5">
        <v>21.92</v>
      </c>
      <c r="H3" s="5">
        <v>20.89</v>
      </c>
      <c r="I3" s="5">
        <v>17.21</v>
      </c>
      <c r="J3" s="5">
        <v>18.27</v>
      </c>
      <c r="K3" s="5">
        <v>18.649999999999999</v>
      </c>
      <c r="L3" s="6">
        <v>0</v>
      </c>
      <c r="M3" s="5">
        <v>17.350000000000001</v>
      </c>
      <c r="N3" s="5">
        <v>17.25</v>
      </c>
      <c r="O3" s="5">
        <v>18.2</v>
      </c>
      <c r="P3" s="5">
        <v>20.55</v>
      </c>
      <c r="Q3" s="5">
        <v>19.57</v>
      </c>
      <c r="R3" s="5">
        <v>19.010000000000002</v>
      </c>
      <c r="S3" s="5">
        <v>20.94</v>
      </c>
      <c r="T3" s="5">
        <v>20.59</v>
      </c>
      <c r="U3" s="5">
        <v>21.67</v>
      </c>
      <c r="V3" s="5">
        <v>19.64</v>
      </c>
      <c r="W3" s="5">
        <v>17.27</v>
      </c>
      <c r="X3" s="7">
        <f t="shared" si="0"/>
        <v>331.10999999999996</v>
      </c>
      <c r="Y3" s="5">
        <f t="shared" si="1"/>
        <v>19.477058823529408</v>
      </c>
    </row>
    <row r="4" spans="1:25" x14ac:dyDescent="0.2">
      <c r="A4" s="2" t="s">
        <v>31</v>
      </c>
      <c r="B4" s="3" t="s">
        <v>32</v>
      </c>
      <c r="C4" s="3" t="s">
        <v>33</v>
      </c>
      <c r="D4" s="2" t="s">
        <v>28</v>
      </c>
      <c r="E4" s="4">
        <v>13</v>
      </c>
      <c r="F4" s="5">
        <v>17.95</v>
      </c>
      <c r="G4" s="5">
        <v>18.690000000000001</v>
      </c>
      <c r="H4" s="5">
        <v>17.54</v>
      </c>
      <c r="I4" s="5">
        <v>19.760000000000002</v>
      </c>
      <c r="J4" s="5">
        <v>19.03</v>
      </c>
      <c r="K4" s="5">
        <v>17.21</v>
      </c>
      <c r="L4" s="5">
        <v>18.97</v>
      </c>
      <c r="M4" s="5">
        <v>18.23</v>
      </c>
      <c r="N4" s="5">
        <v>18.690000000000001</v>
      </c>
      <c r="O4" s="5">
        <v>17.8</v>
      </c>
      <c r="P4" s="5">
        <v>18.239999999999998</v>
      </c>
      <c r="Q4" s="5">
        <v>15.59</v>
      </c>
      <c r="R4" s="6">
        <v>0</v>
      </c>
      <c r="S4" s="5">
        <v>17.98</v>
      </c>
      <c r="T4" s="5">
        <v>16.07</v>
      </c>
      <c r="U4" s="5">
        <v>18.14</v>
      </c>
      <c r="V4" s="5">
        <v>18.05</v>
      </c>
      <c r="W4" s="5">
        <v>16.97</v>
      </c>
      <c r="X4" s="7">
        <f t="shared" si="0"/>
        <v>304.90999999999997</v>
      </c>
      <c r="Y4" s="5">
        <f t="shared" si="1"/>
        <v>17.935882352941174</v>
      </c>
    </row>
    <row r="5" spans="1:25" x14ac:dyDescent="0.2">
      <c r="A5" s="2" t="s">
        <v>34</v>
      </c>
      <c r="B5" s="3" t="s">
        <v>32</v>
      </c>
      <c r="C5" s="3" t="s">
        <v>35</v>
      </c>
      <c r="D5" s="2" t="s">
        <v>28</v>
      </c>
      <c r="E5" s="4">
        <v>11</v>
      </c>
      <c r="F5" s="5">
        <v>14.58</v>
      </c>
      <c r="G5" s="5">
        <v>15.39</v>
      </c>
      <c r="H5" s="5">
        <v>12.83</v>
      </c>
      <c r="I5" s="5">
        <v>13.12</v>
      </c>
      <c r="J5" s="5">
        <v>15.64</v>
      </c>
      <c r="K5" s="5">
        <v>16.59</v>
      </c>
      <c r="L5" s="5">
        <v>15.59</v>
      </c>
      <c r="M5" s="5">
        <v>14.6</v>
      </c>
      <c r="N5" s="5">
        <v>15.62</v>
      </c>
      <c r="O5" s="5">
        <v>15.93</v>
      </c>
      <c r="P5" s="6">
        <v>0</v>
      </c>
      <c r="Q5" s="5">
        <v>14.63</v>
      </c>
      <c r="R5" s="5">
        <v>14.32</v>
      </c>
      <c r="S5" s="5">
        <v>14.28</v>
      </c>
      <c r="T5" s="5">
        <v>14.77</v>
      </c>
      <c r="U5" s="5">
        <v>12.77</v>
      </c>
      <c r="V5" s="5">
        <v>14.09</v>
      </c>
      <c r="W5" s="5">
        <v>13.36</v>
      </c>
      <c r="X5" s="7">
        <f t="shared" si="0"/>
        <v>248.11</v>
      </c>
      <c r="Y5" s="5">
        <f t="shared" si="1"/>
        <v>14.594705882352942</v>
      </c>
    </row>
    <row r="6" spans="1:25" x14ac:dyDescent="0.2">
      <c r="A6" s="2" t="s">
        <v>36</v>
      </c>
      <c r="B6" s="3" t="s">
        <v>32</v>
      </c>
      <c r="C6" s="3" t="s">
        <v>37</v>
      </c>
      <c r="D6" s="2" t="s">
        <v>28</v>
      </c>
      <c r="E6" s="4">
        <v>11</v>
      </c>
      <c r="F6" s="5">
        <v>10.88</v>
      </c>
      <c r="G6" s="5">
        <v>11.72</v>
      </c>
      <c r="H6" s="5">
        <v>12.37</v>
      </c>
      <c r="I6" s="5">
        <v>12.74</v>
      </c>
      <c r="J6" s="5">
        <v>13.55</v>
      </c>
      <c r="K6" s="5">
        <v>12.75</v>
      </c>
      <c r="L6" s="5">
        <v>12.13</v>
      </c>
      <c r="M6" s="5">
        <v>13.68</v>
      </c>
      <c r="N6" s="5">
        <v>12.33</v>
      </c>
      <c r="O6" s="5">
        <v>11.82</v>
      </c>
      <c r="P6" s="6">
        <v>0</v>
      </c>
      <c r="Q6" s="5">
        <v>11.86</v>
      </c>
      <c r="R6" s="5">
        <v>13.21</v>
      </c>
      <c r="S6" s="5">
        <v>12.71</v>
      </c>
      <c r="T6" s="5">
        <v>11.63</v>
      </c>
      <c r="U6" s="5">
        <v>12.27</v>
      </c>
      <c r="V6" s="5">
        <v>11.35</v>
      </c>
      <c r="W6" s="5">
        <v>14.18</v>
      </c>
      <c r="X6" s="7">
        <f t="shared" si="0"/>
        <v>211.18</v>
      </c>
      <c r="Y6" s="5">
        <f t="shared" si="1"/>
        <v>12.42235294117647</v>
      </c>
    </row>
    <row r="7" spans="1:25" x14ac:dyDescent="0.2">
      <c r="A7" s="2" t="s">
        <v>38</v>
      </c>
      <c r="B7" s="3" t="s">
        <v>32</v>
      </c>
      <c r="C7" s="3" t="s">
        <v>39</v>
      </c>
      <c r="D7" s="2" t="s">
        <v>28</v>
      </c>
      <c r="E7" s="4">
        <v>5</v>
      </c>
      <c r="F7" s="5">
        <v>11.04</v>
      </c>
      <c r="G7" s="5">
        <v>11.44</v>
      </c>
      <c r="H7" s="5">
        <v>10.35</v>
      </c>
      <c r="I7" s="5">
        <v>10.52</v>
      </c>
      <c r="J7" s="6">
        <v>0</v>
      </c>
      <c r="K7" s="5">
        <v>9.7100000000000009</v>
      </c>
      <c r="L7" s="5">
        <v>10.82</v>
      </c>
      <c r="M7" s="5">
        <v>10.38</v>
      </c>
      <c r="N7" s="5">
        <v>9.86</v>
      </c>
      <c r="O7" s="5">
        <v>10.74</v>
      </c>
      <c r="P7" s="5">
        <v>10.29</v>
      </c>
      <c r="Q7" s="5">
        <v>10.41</v>
      </c>
      <c r="R7" s="5">
        <v>10.71</v>
      </c>
      <c r="S7" s="5">
        <v>11.15</v>
      </c>
      <c r="T7" s="5">
        <v>11.46</v>
      </c>
      <c r="U7" s="5">
        <v>9.7899999999999991</v>
      </c>
      <c r="V7" s="5">
        <v>9.84</v>
      </c>
      <c r="W7" s="5">
        <v>11.86</v>
      </c>
      <c r="X7" s="7">
        <f t="shared" si="0"/>
        <v>180.37</v>
      </c>
      <c r="Y7" s="5">
        <f t="shared" si="1"/>
        <v>10.61</v>
      </c>
    </row>
    <row r="8" spans="1:25" x14ac:dyDescent="0.2">
      <c r="A8" s="2" t="s">
        <v>40</v>
      </c>
      <c r="B8" s="3" t="s">
        <v>41</v>
      </c>
      <c r="C8" s="3" t="s">
        <v>42</v>
      </c>
      <c r="D8" s="2" t="s">
        <v>28</v>
      </c>
      <c r="E8" s="4">
        <v>14</v>
      </c>
      <c r="F8" s="5">
        <v>19.11</v>
      </c>
      <c r="G8" s="5">
        <v>19.98</v>
      </c>
      <c r="H8" s="5">
        <v>18.47</v>
      </c>
      <c r="I8" s="5">
        <v>17.559999999999999</v>
      </c>
      <c r="J8" s="5">
        <v>18.809999999999999</v>
      </c>
      <c r="K8" s="5">
        <v>18.760000000000002</v>
      </c>
      <c r="L8" s="5">
        <v>18.11</v>
      </c>
      <c r="M8" s="5">
        <v>19.7</v>
      </c>
      <c r="N8" s="5">
        <v>19.18</v>
      </c>
      <c r="O8" s="5">
        <v>19.32</v>
      </c>
      <c r="P8" s="5">
        <v>19.14</v>
      </c>
      <c r="Q8" s="5">
        <v>18.29</v>
      </c>
      <c r="R8" s="5">
        <v>17.84</v>
      </c>
      <c r="S8" s="6">
        <v>0</v>
      </c>
      <c r="T8" s="5">
        <v>18.11</v>
      </c>
      <c r="U8" s="5">
        <v>19.46</v>
      </c>
      <c r="V8" s="5">
        <v>19.25</v>
      </c>
      <c r="W8" s="5">
        <v>19.850000000000001</v>
      </c>
      <c r="X8" s="7">
        <f t="shared" si="0"/>
        <v>320.94</v>
      </c>
      <c r="Y8" s="5">
        <f t="shared" si="1"/>
        <v>18.878823529411765</v>
      </c>
    </row>
    <row r="9" spans="1:25" x14ac:dyDescent="0.2">
      <c r="A9" s="2" t="s">
        <v>43</v>
      </c>
      <c r="B9" s="3" t="s">
        <v>41</v>
      </c>
      <c r="C9" s="3" t="s">
        <v>39</v>
      </c>
      <c r="D9" s="2" t="s">
        <v>28</v>
      </c>
      <c r="E9" s="4">
        <v>5</v>
      </c>
      <c r="F9" s="5">
        <v>15.63</v>
      </c>
      <c r="G9" s="5">
        <v>15.84</v>
      </c>
      <c r="H9" s="5">
        <v>14.4</v>
      </c>
      <c r="I9" s="5">
        <v>15.22</v>
      </c>
      <c r="J9" s="6">
        <v>0</v>
      </c>
      <c r="K9" s="5">
        <v>14.38</v>
      </c>
      <c r="L9" s="5">
        <v>15.22</v>
      </c>
      <c r="M9" s="5">
        <v>15.05</v>
      </c>
      <c r="N9" s="5">
        <v>14.3</v>
      </c>
      <c r="O9" s="5">
        <v>15.11</v>
      </c>
      <c r="P9" s="5">
        <v>14.9</v>
      </c>
      <c r="Q9" s="5">
        <v>14.98</v>
      </c>
      <c r="R9" s="5">
        <v>15.14</v>
      </c>
      <c r="S9" s="5">
        <v>15.35</v>
      </c>
      <c r="T9" s="5">
        <v>16.239999999999998</v>
      </c>
      <c r="U9" s="5">
        <v>14.11</v>
      </c>
      <c r="V9" s="5">
        <v>14.37</v>
      </c>
      <c r="W9" s="5">
        <v>16.04</v>
      </c>
      <c r="X9" s="7">
        <f t="shared" si="0"/>
        <v>256.27999999999997</v>
      </c>
      <c r="Y9" s="5">
        <f t="shared" si="1"/>
        <v>15.075294117647058</v>
      </c>
    </row>
    <row r="10" spans="1:25" x14ac:dyDescent="0.2">
      <c r="A10" s="2" t="s">
        <v>44</v>
      </c>
      <c r="B10" s="3" t="s">
        <v>41</v>
      </c>
      <c r="C10" s="3" t="s">
        <v>27</v>
      </c>
      <c r="D10" s="2" t="s">
        <v>28</v>
      </c>
      <c r="E10" s="4">
        <v>7</v>
      </c>
      <c r="F10" s="5">
        <v>13.11</v>
      </c>
      <c r="G10" s="5">
        <v>14</v>
      </c>
      <c r="H10" s="5">
        <v>13.05</v>
      </c>
      <c r="I10" s="5">
        <v>13.98</v>
      </c>
      <c r="J10" s="5">
        <v>13.99</v>
      </c>
      <c r="K10" s="5">
        <v>13.89</v>
      </c>
      <c r="L10" s="6">
        <v>0</v>
      </c>
      <c r="M10" s="5">
        <v>13.26</v>
      </c>
      <c r="N10" s="5">
        <v>13.24</v>
      </c>
      <c r="O10" s="5">
        <v>13.87</v>
      </c>
      <c r="P10" s="5">
        <v>14.45</v>
      </c>
      <c r="Q10" s="5">
        <v>14.25</v>
      </c>
      <c r="R10" s="5">
        <v>13.83</v>
      </c>
      <c r="S10" s="5">
        <v>12.86</v>
      </c>
      <c r="T10" s="5">
        <v>14.23</v>
      </c>
      <c r="U10" s="5">
        <v>13.63</v>
      </c>
      <c r="V10" s="5">
        <v>13.94</v>
      </c>
      <c r="W10" s="5">
        <v>14.07</v>
      </c>
      <c r="X10" s="7">
        <f t="shared" si="0"/>
        <v>233.65</v>
      </c>
      <c r="Y10" s="5">
        <f t="shared" si="1"/>
        <v>13.744117647058824</v>
      </c>
    </row>
    <row r="11" spans="1:25" x14ac:dyDescent="0.2">
      <c r="A11" s="2" t="s">
        <v>45</v>
      </c>
      <c r="B11" s="3" t="s">
        <v>41</v>
      </c>
      <c r="C11" s="3" t="s">
        <v>46</v>
      </c>
      <c r="D11" s="2" t="s">
        <v>28</v>
      </c>
      <c r="E11" s="4">
        <v>11</v>
      </c>
      <c r="F11" s="5">
        <v>11.3</v>
      </c>
      <c r="G11" s="5">
        <v>11.28</v>
      </c>
      <c r="H11" s="5">
        <v>11.86</v>
      </c>
      <c r="I11" s="5">
        <v>11.21</v>
      </c>
      <c r="J11" s="5">
        <v>11.6</v>
      </c>
      <c r="K11" s="5">
        <v>11.75</v>
      </c>
      <c r="L11" s="5">
        <v>11.22</v>
      </c>
      <c r="M11" s="5">
        <v>11.52</v>
      </c>
      <c r="N11" s="5">
        <v>11.12</v>
      </c>
      <c r="O11" s="5">
        <v>11.41</v>
      </c>
      <c r="P11" s="6">
        <v>0</v>
      </c>
      <c r="Q11" s="5">
        <v>10.8</v>
      </c>
      <c r="R11" s="5">
        <v>11.29</v>
      </c>
      <c r="S11" s="5">
        <v>12.27</v>
      </c>
      <c r="T11" s="5">
        <v>11.97</v>
      </c>
      <c r="U11" s="5">
        <v>11.48</v>
      </c>
      <c r="V11" s="5">
        <v>10.62</v>
      </c>
      <c r="W11" s="5">
        <v>11.35</v>
      </c>
      <c r="X11" s="7">
        <f t="shared" si="0"/>
        <v>194.04999999999998</v>
      </c>
      <c r="Y11" s="5">
        <f t="shared" si="1"/>
        <v>11.414705882352941</v>
      </c>
    </row>
    <row r="12" spans="1:25" x14ac:dyDescent="0.2">
      <c r="A12" s="2" t="s">
        <v>47</v>
      </c>
      <c r="B12" s="3" t="s">
        <v>48</v>
      </c>
      <c r="C12" s="3" t="s">
        <v>49</v>
      </c>
      <c r="D12" s="2" t="s">
        <v>28</v>
      </c>
      <c r="E12" s="4">
        <v>14</v>
      </c>
      <c r="F12" s="5">
        <v>15.18</v>
      </c>
      <c r="G12" s="5">
        <v>14.42</v>
      </c>
      <c r="H12" s="5">
        <v>15.44</v>
      </c>
      <c r="I12" s="5">
        <v>15.44</v>
      </c>
      <c r="J12" s="5">
        <v>15.18</v>
      </c>
      <c r="K12" s="5">
        <v>14.43</v>
      </c>
      <c r="L12" s="5">
        <v>14.35</v>
      </c>
      <c r="M12" s="5">
        <v>15.55</v>
      </c>
      <c r="N12" s="5">
        <v>14.24</v>
      </c>
      <c r="O12" s="5">
        <v>14.62</v>
      </c>
      <c r="P12" s="5">
        <v>14.92</v>
      </c>
      <c r="Q12" s="5">
        <v>16.25</v>
      </c>
      <c r="R12" s="5">
        <v>14.67</v>
      </c>
      <c r="S12" s="6">
        <v>0</v>
      </c>
      <c r="T12" s="5">
        <v>15.28</v>
      </c>
      <c r="U12" s="5">
        <v>15.14</v>
      </c>
      <c r="V12" s="5">
        <v>15.46</v>
      </c>
      <c r="W12" s="5">
        <v>15.19</v>
      </c>
      <c r="X12" s="7">
        <f t="shared" si="0"/>
        <v>255.75999999999996</v>
      </c>
      <c r="Y12" s="5">
        <f t="shared" si="1"/>
        <v>15.04470588235294</v>
      </c>
    </row>
    <row r="13" spans="1:25" x14ac:dyDescent="0.2">
      <c r="A13" s="2" t="s">
        <v>50</v>
      </c>
      <c r="B13" s="3" t="s">
        <v>48</v>
      </c>
      <c r="C13" s="3" t="s">
        <v>51</v>
      </c>
      <c r="D13" s="2" t="s">
        <v>28</v>
      </c>
      <c r="E13" s="4">
        <v>8</v>
      </c>
      <c r="F13" s="5">
        <v>8.56</v>
      </c>
      <c r="G13" s="5">
        <v>8.42</v>
      </c>
      <c r="H13" s="5">
        <v>9.01</v>
      </c>
      <c r="I13" s="5">
        <v>9.06</v>
      </c>
      <c r="J13" s="5">
        <v>8.7200000000000006</v>
      </c>
      <c r="K13" s="5">
        <v>8.81</v>
      </c>
      <c r="L13" s="5">
        <v>8.17</v>
      </c>
      <c r="M13" s="6">
        <v>0</v>
      </c>
      <c r="N13" s="5">
        <v>8.23</v>
      </c>
      <c r="O13" s="5">
        <v>8.69</v>
      </c>
      <c r="P13" s="5">
        <v>8.67</v>
      </c>
      <c r="Q13" s="5">
        <v>8.99</v>
      </c>
      <c r="R13" s="5">
        <v>8.59</v>
      </c>
      <c r="S13" s="5">
        <v>8.6199999999999992</v>
      </c>
      <c r="T13" s="5">
        <v>8.4700000000000006</v>
      </c>
      <c r="U13" s="5">
        <v>9.02</v>
      </c>
      <c r="V13" s="5">
        <v>8.8699999999999992</v>
      </c>
      <c r="W13" s="5">
        <v>8.5500000000000007</v>
      </c>
      <c r="X13" s="7">
        <f t="shared" si="0"/>
        <v>147.45000000000002</v>
      </c>
      <c r="Y13" s="5">
        <f t="shared" si="1"/>
        <v>8.6735294117647062</v>
      </c>
    </row>
    <row r="14" spans="1:25" x14ac:dyDescent="0.2">
      <c r="A14" s="2" t="s">
        <v>52</v>
      </c>
      <c r="B14" s="3" t="s">
        <v>53</v>
      </c>
      <c r="C14" s="3" t="s">
        <v>54</v>
      </c>
      <c r="D14" s="2" t="s">
        <v>28</v>
      </c>
      <c r="E14" s="4">
        <v>10</v>
      </c>
      <c r="F14" s="5">
        <v>8.08</v>
      </c>
      <c r="G14" s="5">
        <v>9.44</v>
      </c>
      <c r="H14" s="5">
        <v>6.72</v>
      </c>
      <c r="I14" s="5">
        <v>8.1199999999999992</v>
      </c>
      <c r="J14" s="5">
        <v>9.1199999999999992</v>
      </c>
      <c r="K14" s="5">
        <v>8.83</v>
      </c>
      <c r="L14" s="5">
        <v>9.89</v>
      </c>
      <c r="M14" s="5">
        <v>8.0500000000000007</v>
      </c>
      <c r="N14" s="5">
        <v>9.3699999999999992</v>
      </c>
      <c r="O14" s="6">
        <v>0</v>
      </c>
      <c r="P14" s="5">
        <v>9.9600000000000009</v>
      </c>
      <c r="Q14" s="5">
        <v>9.8699999999999992</v>
      </c>
      <c r="R14" s="5">
        <v>9.6999999999999993</v>
      </c>
      <c r="S14" s="5">
        <v>11.1</v>
      </c>
      <c r="T14" s="5">
        <v>10.68</v>
      </c>
      <c r="U14" s="5">
        <v>7.66</v>
      </c>
      <c r="V14" s="5">
        <v>9.23</v>
      </c>
      <c r="W14" s="5">
        <v>10.1</v>
      </c>
      <c r="X14" s="7">
        <f t="shared" si="0"/>
        <v>155.91999999999999</v>
      </c>
      <c r="Y14" s="5">
        <f t="shared" si="1"/>
        <v>9.171764705882353</v>
      </c>
    </row>
    <row r="15" spans="1:25" x14ac:dyDescent="0.2">
      <c r="A15" s="2" t="s">
        <v>55</v>
      </c>
      <c r="B15" s="3" t="s">
        <v>53</v>
      </c>
      <c r="C15" s="3" t="s">
        <v>56</v>
      </c>
      <c r="D15" s="2" t="s">
        <v>28</v>
      </c>
      <c r="E15" s="4">
        <v>7</v>
      </c>
      <c r="F15" s="5">
        <v>11.3</v>
      </c>
      <c r="G15" s="5">
        <v>5.84</v>
      </c>
      <c r="H15" s="5">
        <v>7.77</v>
      </c>
      <c r="I15" s="5">
        <v>6.48</v>
      </c>
      <c r="J15" s="5">
        <v>6.73</v>
      </c>
      <c r="K15" s="5">
        <v>7.71</v>
      </c>
      <c r="L15" s="6">
        <v>0</v>
      </c>
      <c r="M15" s="5">
        <v>8.06</v>
      </c>
      <c r="N15" s="5">
        <v>5.91</v>
      </c>
      <c r="O15" s="5">
        <v>8.24</v>
      </c>
      <c r="P15" s="5">
        <v>7.31</v>
      </c>
      <c r="Q15" s="5">
        <v>9.31</v>
      </c>
      <c r="R15" s="5">
        <v>5.31</v>
      </c>
      <c r="S15" s="5">
        <v>8.0299999999999994</v>
      </c>
      <c r="T15" s="5">
        <v>7.62</v>
      </c>
      <c r="U15" s="5">
        <v>5.36</v>
      </c>
      <c r="V15" s="5">
        <v>6.79</v>
      </c>
      <c r="W15" s="5">
        <v>7.77</v>
      </c>
      <c r="X15" s="7">
        <f t="shared" si="0"/>
        <v>125.54000000000002</v>
      </c>
      <c r="Y15" s="5">
        <f t="shared" si="1"/>
        <v>7.3847058823529421</v>
      </c>
    </row>
    <row r="16" spans="1:25" x14ac:dyDescent="0.2">
      <c r="A16" s="2" t="s">
        <v>57</v>
      </c>
      <c r="B16" s="3" t="s">
        <v>58</v>
      </c>
      <c r="C16" s="3" t="s">
        <v>59</v>
      </c>
      <c r="D16" s="2" t="s">
        <v>28</v>
      </c>
      <c r="E16" s="4">
        <v>8</v>
      </c>
      <c r="F16" s="5">
        <v>9.77</v>
      </c>
      <c r="G16" s="5">
        <v>9.68</v>
      </c>
      <c r="H16" s="5">
        <v>9.14</v>
      </c>
      <c r="I16" s="5">
        <v>9.49</v>
      </c>
      <c r="J16" s="5">
        <v>9.23</v>
      </c>
      <c r="K16" s="5">
        <v>9.36</v>
      </c>
      <c r="L16" s="5">
        <v>9.58</v>
      </c>
      <c r="M16" s="6">
        <v>0</v>
      </c>
      <c r="N16" s="5">
        <v>8.9499999999999993</v>
      </c>
      <c r="O16" s="5">
        <v>8.86</v>
      </c>
      <c r="P16" s="5">
        <v>9.58</v>
      </c>
      <c r="Q16" s="5">
        <v>9.2100000000000009</v>
      </c>
      <c r="R16" s="5">
        <v>8.68</v>
      </c>
      <c r="S16" s="5">
        <v>9.42</v>
      </c>
      <c r="T16" s="5">
        <v>9.58</v>
      </c>
      <c r="U16" s="5">
        <v>8.68</v>
      </c>
      <c r="V16" s="5">
        <v>8.9499999999999993</v>
      </c>
      <c r="W16" s="5">
        <v>9.68</v>
      </c>
      <c r="X16" s="7">
        <f t="shared" si="0"/>
        <v>157.84</v>
      </c>
      <c r="Y16" s="5">
        <f t="shared" si="1"/>
        <v>9.2847058823529416</v>
      </c>
    </row>
    <row r="17" spans="1:25" x14ac:dyDescent="0.2">
      <c r="A17" s="2" t="s">
        <v>60</v>
      </c>
      <c r="B17" s="3" t="s">
        <v>58</v>
      </c>
      <c r="C17" s="3" t="s">
        <v>61</v>
      </c>
      <c r="D17" s="2" t="s">
        <v>28</v>
      </c>
      <c r="E17" s="4">
        <v>6</v>
      </c>
      <c r="F17" s="5">
        <v>8.42</v>
      </c>
      <c r="G17" s="5">
        <v>8.08</v>
      </c>
      <c r="H17" s="5">
        <v>7.98</v>
      </c>
      <c r="I17" s="5">
        <v>8.98</v>
      </c>
      <c r="J17" s="5">
        <v>8.08</v>
      </c>
      <c r="K17" s="6">
        <v>0</v>
      </c>
      <c r="L17" s="5">
        <v>8.61</v>
      </c>
      <c r="M17" s="5">
        <v>7.89</v>
      </c>
      <c r="N17" s="5">
        <v>8.8000000000000007</v>
      </c>
      <c r="O17" s="5">
        <v>7.98</v>
      </c>
      <c r="P17" s="5">
        <v>8.3000000000000007</v>
      </c>
      <c r="Q17" s="5">
        <v>8.7899999999999991</v>
      </c>
      <c r="R17" s="5">
        <v>8.61</v>
      </c>
      <c r="S17" s="5">
        <v>7.89</v>
      </c>
      <c r="T17" s="5">
        <v>8.33</v>
      </c>
      <c r="U17" s="5">
        <v>8.89</v>
      </c>
      <c r="V17" s="5">
        <v>8.08</v>
      </c>
      <c r="W17" s="5">
        <v>8.52</v>
      </c>
      <c r="X17" s="7">
        <f t="shared" si="0"/>
        <v>142.23000000000002</v>
      </c>
      <c r="Y17" s="5">
        <f t="shared" si="1"/>
        <v>8.3664705882352948</v>
      </c>
    </row>
    <row r="18" spans="1:25" x14ac:dyDescent="0.2">
      <c r="A18" s="2" t="s">
        <v>62</v>
      </c>
      <c r="B18" s="3" t="s">
        <v>26</v>
      </c>
      <c r="C18" s="3" t="s">
        <v>35</v>
      </c>
      <c r="D18" s="2" t="s">
        <v>63</v>
      </c>
      <c r="E18" s="4">
        <v>11</v>
      </c>
      <c r="F18" s="5">
        <v>21.22</v>
      </c>
      <c r="G18" s="5">
        <v>21.98</v>
      </c>
      <c r="H18" s="5">
        <v>17.54</v>
      </c>
      <c r="I18" s="5">
        <v>19.02</v>
      </c>
      <c r="J18" s="5">
        <v>22.92</v>
      </c>
      <c r="K18" s="5">
        <v>23.09</v>
      </c>
      <c r="L18" s="5">
        <v>21.98</v>
      </c>
      <c r="M18" s="5">
        <v>21.13</v>
      </c>
      <c r="N18" s="5">
        <v>22.31</v>
      </c>
      <c r="O18" s="5">
        <v>22.17</v>
      </c>
      <c r="P18" s="6">
        <v>0</v>
      </c>
      <c r="Q18" s="5">
        <v>21.2</v>
      </c>
      <c r="R18" s="5">
        <v>20.79</v>
      </c>
      <c r="S18" s="5">
        <v>20.76</v>
      </c>
      <c r="T18" s="5">
        <v>21.67</v>
      </c>
      <c r="U18" s="5">
        <v>18.48</v>
      </c>
      <c r="V18" s="5">
        <v>20.170000000000002</v>
      </c>
      <c r="W18" s="5">
        <v>19.420000000000002</v>
      </c>
      <c r="X18" s="7">
        <f t="shared" si="0"/>
        <v>355.85000000000008</v>
      </c>
      <c r="Y18" s="5">
        <f t="shared" si="1"/>
        <v>20.932352941176475</v>
      </c>
    </row>
    <row r="19" spans="1:25" x14ac:dyDescent="0.2">
      <c r="A19" s="2" t="s">
        <v>64</v>
      </c>
      <c r="B19" s="3" t="s">
        <v>26</v>
      </c>
      <c r="C19" s="3" t="s">
        <v>54</v>
      </c>
      <c r="D19" s="2" t="s">
        <v>63</v>
      </c>
      <c r="E19" s="4">
        <v>10</v>
      </c>
      <c r="F19" s="5">
        <v>18.899999999999999</v>
      </c>
      <c r="G19" s="5">
        <v>21.25</v>
      </c>
      <c r="H19" s="5">
        <v>18.59</v>
      </c>
      <c r="I19" s="5">
        <v>19.93</v>
      </c>
      <c r="J19" s="5">
        <v>19.309999999999999</v>
      </c>
      <c r="K19" s="5">
        <v>18.45</v>
      </c>
      <c r="L19" s="5">
        <v>21.63</v>
      </c>
      <c r="M19" s="5">
        <v>19.989999999999998</v>
      </c>
      <c r="N19" s="5">
        <v>20.37</v>
      </c>
      <c r="O19" s="6">
        <v>0</v>
      </c>
      <c r="P19" s="5">
        <v>22.46</v>
      </c>
      <c r="Q19" s="5">
        <v>17.93</v>
      </c>
      <c r="R19" s="5">
        <v>23.27</v>
      </c>
      <c r="S19" s="5">
        <v>19.89</v>
      </c>
      <c r="T19" s="5">
        <v>21.39</v>
      </c>
      <c r="U19" s="5">
        <v>22.42</v>
      </c>
      <c r="V19" s="5">
        <v>18.829999999999998</v>
      </c>
      <c r="W19" s="5">
        <v>20.399999999999999</v>
      </c>
      <c r="X19" s="7">
        <f t="shared" si="0"/>
        <v>345.01</v>
      </c>
      <c r="Y19" s="5">
        <f t="shared" si="1"/>
        <v>20.29470588235294</v>
      </c>
    </row>
    <row r="20" spans="1:25" x14ac:dyDescent="0.2">
      <c r="A20" s="2" t="s">
        <v>65</v>
      </c>
      <c r="B20" s="3" t="s">
        <v>32</v>
      </c>
      <c r="C20" s="3" t="s">
        <v>66</v>
      </c>
      <c r="D20" s="2" t="s">
        <v>63</v>
      </c>
      <c r="E20" s="4">
        <v>10</v>
      </c>
      <c r="F20" s="5">
        <v>19.28</v>
      </c>
      <c r="G20" s="5">
        <v>18.170000000000002</v>
      </c>
      <c r="H20" s="5">
        <v>17</v>
      </c>
      <c r="I20" s="5">
        <v>15.53</v>
      </c>
      <c r="J20" s="5">
        <v>17.690000000000001</v>
      </c>
      <c r="K20" s="5">
        <v>18.440000000000001</v>
      </c>
      <c r="L20" s="5">
        <v>17.48</v>
      </c>
      <c r="M20" s="5">
        <v>18.52</v>
      </c>
      <c r="N20" s="5">
        <v>18.23</v>
      </c>
      <c r="O20" s="6">
        <v>0</v>
      </c>
      <c r="P20" s="5">
        <v>16.48</v>
      </c>
      <c r="Q20" s="5">
        <v>16.78</v>
      </c>
      <c r="R20" s="5">
        <v>18.91</v>
      </c>
      <c r="S20" s="5">
        <v>18.21</v>
      </c>
      <c r="T20" s="5">
        <v>15.79</v>
      </c>
      <c r="U20" s="5">
        <v>16.05</v>
      </c>
      <c r="V20" s="5">
        <v>16.920000000000002</v>
      </c>
      <c r="W20" s="5">
        <v>17.5</v>
      </c>
      <c r="X20" s="7">
        <f t="shared" si="0"/>
        <v>296.98</v>
      </c>
      <c r="Y20" s="5">
        <f t="shared" si="1"/>
        <v>17.469411764705882</v>
      </c>
    </row>
    <row r="21" spans="1:25" x14ac:dyDescent="0.2">
      <c r="A21" s="2" t="s">
        <v>67</v>
      </c>
      <c r="B21" s="3" t="s">
        <v>32</v>
      </c>
      <c r="C21" s="3" t="s">
        <v>68</v>
      </c>
      <c r="D21" s="2" t="s">
        <v>63</v>
      </c>
      <c r="E21" s="4">
        <v>13</v>
      </c>
      <c r="F21" s="5">
        <v>17.739999999999998</v>
      </c>
      <c r="G21" s="5">
        <v>17.03</v>
      </c>
      <c r="H21" s="5">
        <v>15.85</v>
      </c>
      <c r="I21" s="5">
        <v>16.670000000000002</v>
      </c>
      <c r="J21" s="5">
        <v>16.989999999999998</v>
      </c>
      <c r="K21" s="5">
        <v>15.92</v>
      </c>
      <c r="L21" s="5">
        <v>19.75</v>
      </c>
      <c r="M21" s="5">
        <v>18.8</v>
      </c>
      <c r="N21" s="5">
        <v>15.92</v>
      </c>
      <c r="O21" s="5">
        <v>18.260000000000002</v>
      </c>
      <c r="P21" s="5">
        <v>16.25</v>
      </c>
      <c r="Q21" s="5">
        <v>18.98</v>
      </c>
      <c r="R21" s="6">
        <v>0</v>
      </c>
      <c r="S21" s="5">
        <v>15.51</v>
      </c>
      <c r="T21" s="5">
        <v>18.46</v>
      </c>
      <c r="U21" s="5">
        <v>16.62</v>
      </c>
      <c r="V21" s="5">
        <v>17.54</v>
      </c>
      <c r="W21" s="5">
        <v>17.55</v>
      </c>
      <c r="X21" s="7">
        <f t="shared" si="0"/>
        <v>293.83999999999997</v>
      </c>
      <c r="Y21" s="5">
        <f t="shared" si="1"/>
        <v>17.284705882352938</v>
      </c>
    </row>
    <row r="22" spans="1:25" x14ac:dyDescent="0.2">
      <c r="A22" s="2" t="s">
        <v>69</v>
      </c>
      <c r="B22" s="3" t="s">
        <v>32</v>
      </c>
      <c r="C22" s="3" t="s">
        <v>37</v>
      </c>
      <c r="D22" s="2" t="s">
        <v>63</v>
      </c>
      <c r="E22" s="4">
        <v>11</v>
      </c>
      <c r="F22" s="5">
        <v>10.59</v>
      </c>
      <c r="G22" s="5">
        <v>11.51</v>
      </c>
      <c r="H22" s="5">
        <v>12.11</v>
      </c>
      <c r="I22" s="5">
        <v>12.45</v>
      </c>
      <c r="J22" s="5">
        <v>13.42</v>
      </c>
      <c r="K22" s="5">
        <v>12.57</v>
      </c>
      <c r="L22" s="5">
        <v>11.88</v>
      </c>
      <c r="M22" s="5">
        <v>13.55</v>
      </c>
      <c r="N22" s="5">
        <v>12.1</v>
      </c>
      <c r="O22" s="5">
        <v>11.55</v>
      </c>
      <c r="P22" s="6">
        <v>0</v>
      </c>
      <c r="Q22" s="5">
        <v>11.59</v>
      </c>
      <c r="R22" s="5">
        <v>12.96</v>
      </c>
      <c r="S22" s="5">
        <v>12.52</v>
      </c>
      <c r="T22" s="5">
        <v>11.36</v>
      </c>
      <c r="U22" s="5">
        <v>12.06</v>
      </c>
      <c r="V22" s="5">
        <v>11.1</v>
      </c>
      <c r="W22" s="5">
        <v>14.1</v>
      </c>
      <c r="X22" s="7">
        <f t="shared" si="0"/>
        <v>207.42000000000002</v>
      </c>
      <c r="Y22" s="5">
        <f t="shared" si="1"/>
        <v>12.201176470588237</v>
      </c>
    </row>
    <row r="23" spans="1:25" x14ac:dyDescent="0.2">
      <c r="A23" s="2" t="s">
        <v>70</v>
      </c>
      <c r="B23" s="3" t="s">
        <v>32</v>
      </c>
      <c r="C23" s="3" t="s">
        <v>27</v>
      </c>
      <c r="D23" s="2" t="s">
        <v>63</v>
      </c>
      <c r="E23" s="4">
        <v>7</v>
      </c>
      <c r="F23" s="5">
        <v>0.86</v>
      </c>
      <c r="G23" s="5">
        <v>0.92</v>
      </c>
      <c r="H23" s="5">
        <v>0.87</v>
      </c>
      <c r="I23" s="5">
        <v>0.96</v>
      </c>
      <c r="J23" s="5">
        <v>0.98</v>
      </c>
      <c r="K23" s="5">
        <v>0.93</v>
      </c>
      <c r="L23" s="6">
        <v>0</v>
      </c>
      <c r="M23" s="5">
        <v>0.89</v>
      </c>
      <c r="N23" s="5">
        <v>0.86</v>
      </c>
      <c r="O23" s="5">
        <v>0.95</v>
      </c>
      <c r="P23" s="5">
        <v>0.99</v>
      </c>
      <c r="Q23" s="5">
        <v>1.01</v>
      </c>
      <c r="R23" s="5">
        <v>0.97</v>
      </c>
      <c r="S23" s="5">
        <v>0.87</v>
      </c>
      <c r="T23" s="5">
        <v>1.01</v>
      </c>
      <c r="U23" s="5">
        <v>0.93</v>
      </c>
      <c r="V23" s="5">
        <v>0.94</v>
      </c>
      <c r="W23" s="5">
        <v>0.95</v>
      </c>
      <c r="X23" s="7">
        <f t="shared" si="0"/>
        <v>15.889999999999997</v>
      </c>
      <c r="Y23" s="5">
        <f t="shared" si="1"/>
        <v>0.93470588235294105</v>
      </c>
    </row>
    <row r="24" spans="1:25" x14ac:dyDescent="0.2">
      <c r="A24" s="2" t="s">
        <v>71</v>
      </c>
      <c r="B24" s="3" t="s">
        <v>41</v>
      </c>
      <c r="C24" s="3" t="s">
        <v>35</v>
      </c>
      <c r="D24" s="2" t="s">
        <v>63</v>
      </c>
      <c r="E24" s="4">
        <v>11</v>
      </c>
      <c r="F24" s="5">
        <v>23.29</v>
      </c>
      <c r="G24" s="5">
        <v>23.3</v>
      </c>
      <c r="H24" s="5">
        <v>21.58</v>
      </c>
      <c r="I24" s="5">
        <v>22.01</v>
      </c>
      <c r="J24" s="5">
        <v>24.47</v>
      </c>
      <c r="K24" s="5">
        <v>23.81</v>
      </c>
      <c r="L24" s="5">
        <v>23.4</v>
      </c>
      <c r="M24" s="5">
        <v>23.06</v>
      </c>
      <c r="N24" s="5">
        <v>23.98</v>
      </c>
      <c r="O24" s="5">
        <v>23.67</v>
      </c>
      <c r="P24" s="6">
        <v>0</v>
      </c>
      <c r="Q24" s="5">
        <v>22.94</v>
      </c>
      <c r="R24" s="5">
        <v>22.74</v>
      </c>
      <c r="S24" s="5">
        <v>23.2</v>
      </c>
      <c r="T24" s="5">
        <v>23.58</v>
      </c>
      <c r="U24" s="5">
        <v>21.7</v>
      </c>
      <c r="V24" s="5">
        <v>22.62</v>
      </c>
      <c r="W24" s="5">
        <v>21.92</v>
      </c>
      <c r="X24" s="7">
        <f t="shared" si="0"/>
        <v>391.27</v>
      </c>
      <c r="Y24" s="5">
        <f t="shared" si="1"/>
        <v>23.015882352941176</v>
      </c>
    </row>
    <row r="25" spans="1:25" x14ac:dyDescent="0.2">
      <c r="A25" s="2" t="s">
        <v>72</v>
      </c>
      <c r="B25" s="3" t="s">
        <v>41</v>
      </c>
      <c r="C25" s="3" t="s">
        <v>59</v>
      </c>
      <c r="D25" s="2" t="s">
        <v>63</v>
      </c>
      <c r="E25" s="4">
        <v>8</v>
      </c>
      <c r="F25" s="5">
        <v>16.91</v>
      </c>
      <c r="G25" s="5">
        <v>16.57</v>
      </c>
      <c r="H25" s="5">
        <v>15.89</v>
      </c>
      <c r="I25" s="5">
        <v>16.170000000000002</v>
      </c>
      <c r="J25" s="5">
        <v>15.8</v>
      </c>
      <c r="K25" s="5">
        <v>16.09</v>
      </c>
      <c r="L25" s="5">
        <v>16.010000000000002</v>
      </c>
      <c r="M25" s="6">
        <v>0</v>
      </c>
      <c r="N25" s="5">
        <v>15.57</v>
      </c>
      <c r="O25" s="5">
        <v>14.81</v>
      </c>
      <c r="P25" s="5">
        <v>16.07</v>
      </c>
      <c r="Q25" s="5">
        <v>15.31</v>
      </c>
      <c r="R25" s="5">
        <v>14.56</v>
      </c>
      <c r="S25" s="5">
        <v>16.54</v>
      </c>
      <c r="T25" s="5">
        <v>16.18</v>
      </c>
      <c r="U25" s="5">
        <v>14.85</v>
      </c>
      <c r="V25" s="5">
        <v>15.48</v>
      </c>
      <c r="W25" s="5">
        <v>15.96</v>
      </c>
      <c r="X25" s="7">
        <f t="shared" si="0"/>
        <v>268.77</v>
      </c>
      <c r="Y25" s="5">
        <f t="shared" si="1"/>
        <v>15.809999999999999</v>
      </c>
    </row>
    <row r="26" spans="1:25" x14ac:dyDescent="0.2">
      <c r="A26" s="2" t="s">
        <v>73</v>
      </c>
      <c r="B26" s="3" t="s">
        <v>41</v>
      </c>
      <c r="C26" s="3" t="s">
        <v>49</v>
      </c>
      <c r="D26" s="2" t="s">
        <v>63</v>
      </c>
      <c r="E26" s="4">
        <v>14</v>
      </c>
      <c r="F26" s="5">
        <v>12.17</v>
      </c>
      <c r="G26" s="5">
        <v>11.54</v>
      </c>
      <c r="H26" s="5">
        <v>12.4</v>
      </c>
      <c r="I26" s="5">
        <v>12.44</v>
      </c>
      <c r="J26" s="5">
        <v>12.22</v>
      </c>
      <c r="K26" s="5">
        <v>11.47</v>
      </c>
      <c r="L26" s="5">
        <v>11.49</v>
      </c>
      <c r="M26" s="5">
        <v>12.49</v>
      </c>
      <c r="N26" s="5">
        <v>11.33</v>
      </c>
      <c r="O26" s="5">
        <v>11.69</v>
      </c>
      <c r="P26" s="5">
        <v>11.94</v>
      </c>
      <c r="Q26" s="5">
        <v>13.23</v>
      </c>
      <c r="R26" s="5">
        <v>11.76</v>
      </c>
      <c r="S26" s="6">
        <v>0</v>
      </c>
      <c r="T26" s="5">
        <v>12.36</v>
      </c>
      <c r="U26" s="5">
        <v>12.17</v>
      </c>
      <c r="V26" s="5">
        <v>12.51</v>
      </c>
      <c r="W26" s="5">
        <v>12.21</v>
      </c>
      <c r="X26" s="7">
        <f t="shared" si="0"/>
        <v>205.41999999999996</v>
      </c>
      <c r="Y26" s="5">
        <f t="shared" si="1"/>
        <v>12.083529411764703</v>
      </c>
    </row>
    <row r="27" spans="1:25" x14ac:dyDescent="0.2">
      <c r="A27" s="2" t="s">
        <v>74</v>
      </c>
      <c r="B27" s="3" t="s">
        <v>41</v>
      </c>
      <c r="C27" s="3" t="s">
        <v>66</v>
      </c>
      <c r="D27" s="2" t="s">
        <v>63</v>
      </c>
      <c r="E27" s="4">
        <v>10</v>
      </c>
      <c r="F27" s="5">
        <v>9.93</v>
      </c>
      <c r="G27" s="5">
        <v>9.44</v>
      </c>
      <c r="H27" s="5">
        <v>9.4700000000000006</v>
      </c>
      <c r="I27" s="5">
        <v>9.07</v>
      </c>
      <c r="J27" s="5">
        <v>9.61</v>
      </c>
      <c r="K27" s="5">
        <v>9.4600000000000009</v>
      </c>
      <c r="L27" s="5">
        <v>9.66</v>
      </c>
      <c r="M27" s="5">
        <v>9.85</v>
      </c>
      <c r="N27" s="5">
        <v>9.5500000000000007</v>
      </c>
      <c r="O27" s="6">
        <v>0</v>
      </c>
      <c r="P27" s="5">
        <v>8.8800000000000008</v>
      </c>
      <c r="Q27" s="5">
        <v>9.58</v>
      </c>
      <c r="R27" s="5">
        <v>9.7200000000000006</v>
      </c>
      <c r="S27" s="5">
        <v>9.59</v>
      </c>
      <c r="T27" s="5">
        <v>8.93</v>
      </c>
      <c r="U27" s="5">
        <v>8.7899999999999991</v>
      </c>
      <c r="V27" s="5">
        <v>9.5</v>
      </c>
      <c r="W27" s="5">
        <v>9.48</v>
      </c>
      <c r="X27" s="7">
        <f t="shared" si="0"/>
        <v>160.50999999999996</v>
      </c>
      <c r="Y27" s="5">
        <f t="shared" si="1"/>
        <v>9.4417647058823508</v>
      </c>
    </row>
    <row r="28" spans="1:25" x14ac:dyDescent="0.2">
      <c r="A28" s="2" t="s">
        <v>75</v>
      </c>
      <c r="B28" s="3" t="s">
        <v>48</v>
      </c>
      <c r="C28" s="3" t="s">
        <v>76</v>
      </c>
      <c r="D28" s="2" t="s">
        <v>63</v>
      </c>
      <c r="E28" s="4">
        <v>6</v>
      </c>
      <c r="F28" s="5">
        <v>11.34</v>
      </c>
      <c r="G28" s="5">
        <v>12.12</v>
      </c>
      <c r="H28" s="5">
        <v>11.34</v>
      </c>
      <c r="I28" s="5">
        <v>11.41</v>
      </c>
      <c r="J28" s="5">
        <v>11.78</v>
      </c>
      <c r="K28" s="6">
        <v>0</v>
      </c>
      <c r="L28" s="5">
        <v>11.38</v>
      </c>
      <c r="M28" s="5">
        <v>11.37</v>
      </c>
      <c r="N28" s="5">
        <v>11.76</v>
      </c>
      <c r="O28" s="5">
        <v>11.23</v>
      </c>
      <c r="P28" s="5">
        <v>11.31</v>
      </c>
      <c r="Q28" s="5">
        <v>11.56</v>
      </c>
      <c r="R28" s="5">
        <v>11.69</v>
      </c>
      <c r="S28" s="5">
        <v>11.49</v>
      </c>
      <c r="T28" s="5">
        <v>11.32</v>
      </c>
      <c r="U28" s="5">
        <v>11.56</v>
      </c>
      <c r="V28" s="5">
        <v>11.51</v>
      </c>
      <c r="W28" s="5">
        <v>11.32</v>
      </c>
      <c r="X28" s="7">
        <f t="shared" si="0"/>
        <v>195.49</v>
      </c>
      <c r="Y28" s="5">
        <f t="shared" si="1"/>
        <v>11.499411764705883</v>
      </c>
    </row>
    <row r="29" spans="1:25" x14ac:dyDescent="0.2">
      <c r="A29" s="2" t="s">
        <v>77</v>
      </c>
      <c r="B29" s="3" t="s">
        <v>48</v>
      </c>
      <c r="C29" s="3" t="s">
        <v>78</v>
      </c>
      <c r="D29" s="2" t="s">
        <v>63</v>
      </c>
      <c r="E29" s="4">
        <v>8</v>
      </c>
      <c r="F29" s="5">
        <v>9.7200000000000006</v>
      </c>
      <c r="G29" s="5">
        <v>9.02</v>
      </c>
      <c r="H29" s="5">
        <v>9.57</v>
      </c>
      <c r="I29" s="5">
        <v>9.85</v>
      </c>
      <c r="J29" s="5">
        <v>9.92</v>
      </c>
      <c r="K29" s="5">
        <v>9.43</v>
      </c>
      <c r="L29" s="5">
        <v>8.77</v>
      </c>
      <c r="M29" s="6">
        <v>0</v>
      </c>
      <c r="N29" s="5">
        <v>9.0299999999999994</v>
      </c>
      <c r="O29" s="5">
        <v>9.98</v>
      </c>
      <c r="P29" s="5">
        <v>9.7100000000000009</v>
      </c>
      <c r="Q29" s="5">
        <v>9.58</v>
      </c>
      <c r="R29" s="5">
        <v>9.64</v>
      </c>
      <c r="S29" s="5">
        <v>8.89</v>
      </c>
      <c r="T29" s="5">
        <v>9.06</v>
      </c>
      <c r="U29" s="5">
        <v>9.33</v>
      </c>
      <c r="V29" s="5">
        <v>9.64</v>
      </c>
      <c r="W29" s="5">
        <v>9.1199999999999992</v>
      </c>
      <c r="X29" s="7">
        <f t="shared" si="0"/>
        <v>160.26</v>
      </c>
      <c r="Y29" s="5">
        <f t="shared" si="1"/>
        <v>9.4270588235294106</v>
      </c>
    </row>
    <row r="30" spans="1:25" x14ac:dyDescent="0.2">
      <c r="A30" s="2" t="s">
        <v>79</v>
      </c>
      <c r="B30" s="3" t="s">
        <v>53</v>
      </c>
      <c r="C30" s="3" t="s">
        <v>35</v>
      </c>
      <c r="D30" s="2" t="s">
        <v>63</v>
      </c>
      <c r="E30" s="4">
        <v>11</v>
      </c>
      <c r="F30" s="5">
        <v>8.3000000000000007</v>
      </c>
      <c r="G30" s="5">
        <v>9.89</v>
      </c>
      <c r="H30" s="5">
        <v>7.91</v>
      </c>
      <c r="I30" s="5">
        <v>8.9499999999999993</v>
      </c>
      <c r="J30" s="5">
        <v>7.62</v>
      </c>
      <c r="K30" s="5">
        <v>10.19</v>
      </c>
      <c r="L30" s="5">
        <v>10.220000000000001</v>
      </c>
      <c r="M30" s="5">
        <v>9.6999999999999993</v>
      </c>
      <c r="N30" s="5">
        <v>8.7100000000000009</v>
      </c>
      <c r="O30" s="5">
        <v>10</v>
      </c>
      <c r="P30" s="6">
        <v>0</v>
      </c>
      <c r="Q30" s="5">
        <v>8.4499999999999993</v>
      </c>
      <c r="R30" s="5">
        <v>8.64</v>
      </c>
      <c r="S30" s="5">
        <v>7.74</v>
      </c>
      <c r="T30" s="5">
        <v>8.3800000000000008</v>
      </c>
      <c r="U30" s="5">
        <v>9.23</v>
      </c>
      <c r="V30" s="5">
        <v>9.7799999999999994</v>
      </c>
      <c r="W30" s="5">
        <v>9.56</v>
      </c>
      <c r="X30" s="7">
        <f t="shared" si="0"/>
        <v>153.26999999999998</v>
      </c>
      <c r="Y30" s="5">
        <f t="shared" si="1"/>
        <v>9.0158823529411762</v>
      </c>
    </row>
    <row r="31" spans="1:25" x14ac:dyDescent="0.2">
      <c r="A31" s="2" t="s">
        <v>80</v>
      </c>
      <c r="B31" s="3" t="s">
        <v>53</v>
      </c>
      <c r="C31" s="3" t="s">
        <v>46</v>
      </c>
      <c r="D31" s="2" t="s">
        <v>63</v>
      </c>
      <c r="E31" s="4">
        <v>11</v>
      </c>
      <c r="F31" s="5">
        <v>7.75</v>
      </c>
      <c r="G31" s="5">
        <v>9.39</v>
      </c>
      <c r="H31" s="5">
        <v>8.11</v>
      </c>
      <c r="I31" s="5">
        <v>7.66</v>
      </c>
      <c r="J31" s="5">
        <v>5.87</v>
      </c>
      <c r="K31" s="5">
        <v>6.14</v>
      </c>
      <c r="L31" s="5">
        <v>5.53</v>
      </c>
      <c r="M31" s="5">
        <v>8.85</v>
      </c>
      <c r="N31" s="5">
        <v>8.01</v>
      </c>
      <c r="O31" s="5">
        <v>8.32</v>
      </c>
      <c r="P31" s="6">
        <v>0</v>
      </c>
      <c r="Q31" s="5">
        <v>4.66</v>
      </c>
      <c r="R31" s="5">
        <v>8.58</v>
      </c>
      <c r="S31" s="5">
        <v>6.12</v>
      </c>
      <c r="T31" s="5">
        <v>9.24</v>
      </c>
      <c r="U31" s="5">
        <v>5.95</v>
      </c>
      <c r="V31" s="5">
        <v>9.42</v>
      </c>
      <c r="W31" s="5">
        <v>6.26</v>
      </c>
      <c r="X31" s="7">
        <f t="shared" si="0"/>
        <v>125.86</v>
      </c>
      <c r="Y31" s="5">
        <f t="shared" si="1"/>
        <v>7.4035294117647057</v>
      </c>
    </row>
    <row r="32" spans="1:25" x14ac:dyDescent="0.2">
      <c r="A32" s="2" t="s">
        <v>81</v>
      </c>
      <c r="B32" s="3" t="s">
        <v>58</v>
      </c>
      <c r="C32" s="3" t="s">
        <v>82</v>
      </c>
      <c r="D32" s="2" t="s">
        <v>63</v>
      </c>
      <c r="E32" s="4">
        <v>9</v>
      </c>
      <c r="F32" s="5">
        <v>9.02</v>
      </c>
      <c r="G32" s="5">
        <v>8.06</v>
      </c>
      <c r="H32" s="5">
        <v>8.92</v>
      </c>
      <c r="I32" s="5">
        <v>8.06</v>
      </c>
      <c r="J32" s="5">
        <v>8.82</v>
      </c>
      <c r="K32" s="5">
        <v>8.16</v>
      </c>
      <c r="L32" s="5">
        <v>8.49</v>
      </c>
      <c r="M32" s="5">
        <v>8.52</v>
      </c>
      <c r="N32" s="6">
        <v>0</v>
      </c>
      <c r="O32" s="5">
        <v>8.4600000000000009</v>
      </c>
      <c r="P32" s="5">
        <v>7.86</v>
      </c>
      <c r="Q32" s="5">
        <v>8.2200000000000006</v>
      </c>
      <c r="R32" s="5">
        <v>8.23</v>
      </c>
      <c r="S32" s="5">
        <v>8.36</v>
      </c>
      <c r="T32" s="5">
        <v>8.42</v>
      </c>
      <c r="U32" s="5">
        <v>8.82</v>
      </c>
      <c r="V32" s="5">
        <v>8.4600000000000009</v>
      </c>
      <c r="W32" s="5">
        <v>7.96</v>
      </c>
      <c r="X32" s="7">
        <f t="shared" si="0"/>
        <v>142.84000000000003</v>
      </c>
      <c r="Y32" s="5">
        <f t="shared" si="1"/>
        <v>8.4023529411764724</v>
      </c>
    </row>
    <row r="33" spans="1:25" x14ac:dyDescent="0.2">
      <c r="A33" s="2" t="s">
        <v>83</v>
      </c>
      <c r="B33" s="3" t="s">
        <v>58</v>
      </c>
      <c r="C33" s="3" t="s">
        <v>66</v>
      </c>
      <c r="D33" s="2" t="s">
        <v>63</v>
      </c>
      <c r="E33" s="4">
        <v>10</v>
      </c>
      <c r="F33" s="5">
        <v>8.5399999999999991</v>
      </c>
      <c r="G33" s="5">
        <v>7.93</v>
      </c>
      <c r="H33" s="5">
        <v>7.75</v>
      </c>
      <c r="I33" s="5">
        <v>7.71</v>
      </c>
      <c r="J33" s="5">
        <v>8.0500000000000007</v>
      </c>
      <c r="K33" s="5">
        <v>8.26</v>
      </c>
      <c r="L33" s="5">
        <v>8.18</v>
      </c>
      <c r="M33" s="5">
        <v>8.1199999999999992</v>
      </c>
      <c r="N33" s="5">
        <v>8.27</v>
      </c>
      <c r="O33" s="6">
        <v>0</v>
      </c>
      <c r="P33" s="5">
        <v>7.8</v>
      </c>
      <c r="Q33" s="5">
        <v>7.75</v>
      </c>
      <c r="R33" s="5">
        <v>8.1199999999999992</v>
      </c>
      <c r="S33" s="5">
        <v>8.27</v>
      </c>
      <c r="T33" s="5">
        <v>7.71</v>
      </c>
      <c r="U33" s="5">
        <v>7.71</v>
      </c>
      <c r="V33" s="5">
        <v>7.75</v>
      </c>
      <c r="W33" s="5">
        <v>7.84</v>
      </c>
      <c r="X33" s="7">
        <f t="shared" si="0"/>
        <v>135.76</v>
      </c>
      <c r="Y33" s="5">
        <f t="shared" si="1"/>
        <v>7.985882352941176</v>
      </c>
    </row>
    <row r="34" spans="1:25" x14ac:dyDescent="0.2">
      <c r="A34" s="2" t="s">
        <v>84</v>
      </c>
      <c r="B34" s="3" t="s">
        <v>26</v>
      </c>
      <c r="C34" s="3" t="s">
        <v>37</v>
      </c>
      <c r="D34" s="2" t="s">
        <v>85</v>
      </c>
      <c r="E34" s="4">
        <v>11</v>
      </c>
      <c r="F34" s="5">
        <v>18.63</v>
      </c>
      <c r="G34" s="5">
        <v>20.149999999999999</v>
      </c>
      <c r="H34" s="5">
        <v>22.35</v>
      </c>
      <c r="I34" s="5">
        <v>23.53</v>
      </c>
      <c r="J34" s="5">
        <v>24.46</v>
      </c>
      <c r="K34" s="5">
        <v>22.04</v>
      </c>
      <c r="L34" s="5">
        <v>21.94</v>
      </c>
      <c r="M34" s="5">
        <v>24.23</v>
      </c>
      <c r="N34" s="5">
        <v>21.59</v>
      </c>
      <c r="O34" s="5">
        <v>20.57</v>
      </c>
      <c r="P34" s="6">
        <v>0</v>
      </c>
      <c r="Q34" s="5">
        <v>20.53</v>
      </c>
      <c r="R34" s="5">
        <v>24.52</v>
      </c>
      <c r="S34" s="5">
        <v>22.09</v>
      </c>
      <c r="T34" s="5">
        <v>20.13</v>
      </c>
      <c r="U34" s="5">
        <v>21.05</v>
      </c>
      <c r="V34" s="5">
        <v>19.68</v>
      </c>
      <c r="W34" s="5">
        <v>25.2</v>
      </c>
      <c r="X34" s="7">
        <f t="shared" ref="X34:X65" si="2">SUM(F34:W34)</f>
        <v>372.68999999999994</v>
      </c>
      <c r="Y34" s="5">
        <f t="shared" ref="Y34:Y65" si="3">IFERROR(AVERAGEIF(F34:W34,"&gt;0"),0)</f>
        <v>21.922941176470584</v>
      </c>
    </row>
    <row r="35" spans="1:25" x14ac:dyDescent="0.2">
      <c r="A35" s="2" t="s">
        <v>86</v>
      </c>
      <c r="B35" s="3" t="s">
        <v>26</v>
      </c>
      <c r="C35" s="3" t="s">
        <v>78</v>
      </c>
      <c r="D35" s="2" t="s">
        <v>85</v>
      </c>
      <c r="E35" s="4">
        <v>8</v>
      </c>
      <c r="F35" s="5">
        <v>21.4</v>
      </c>
      <c r="G35" s="5">
        <v>16.850000000000001</v>
      </c>
      <c r="H35" s="5">
        <v>22.21</v>
      </c>
      <c r="I35" s="5">
        <v>23.15</v>
      </c>
      <c r="J35" s="5">
        <v>22.19</v>
      </c>
      <c r="K35" s="5">
        <v>21.33</v>
      </c>
      <c r="L35" s="5">
        <v>16.75</v>
      </c>
      <c r="M35" s="6">
        <v>0</v>
      </c>
      <c r="N35" s="5">
        <v>17.3</v>
      </c>
      <c r="O35" s="5">
        <v>23.28</v>
      </c>
      <c r="P35" s="5">
        <v>21.68</v>
      </c>
      <c r="Q35" s="5">
        <v>20.7</v>
      </c>
      <c r="R35" s="5">
        <v>21.43</v>
      </c>
      <c r="S35" s="5">
        <v>16.690000000000001</v>
      </c>
      <c r="T35" s="5">
        <v>19.38</v>
      </c>
      <c r="U35" s="5">
        <v>19.21</v>
      </c>
      <c r="V35" s="5">
        <v>20.3</v>
      </c>
      <c r="W35" s="5">
        <v>18.420000000000002</v>
      </c>
      <c r="X35" s="7">
        <f t="shared" si="2"/>
        <v>342.27000000000004</v>
      </c>
      <c r="Y35" s="5">
        <f t="shared" si="3"/>
        <v>20.133529411764709</v>
      </c>
    </row>
    <row r="36" spans="1:25" x14ac:dyDescent="0.2">
      <c r="A36" s="2" t="s">
        <v>87</v>
      </c>
      <c r="B36" s="3" t="s">
        <v>32</v>
      </c>
      <c r="C36" s="3" t="s">
        <v>76</v>
      </c>
      <c r="D36" s="2" t="s">
        <v>85</v>
      </c>
      <c r="E36" s="4">
        <v>6</v>
      </c>
      <c r="F36" s="5">
        <v>23.27</v>
      </c>
      <c r="G36" s="5">
        <v>23.27</v>
      </c>
      <c r="H36" s="5">
        <v>23.27</v>
      </c>
      <c r="I36" s="5">
        <v>22.9</v>
      </c>
      <c r="J36" s="5">
        <v>24.33</v>
      </c>
      <c r="K36" s="6">
        <v>0</v>
      </c>
      <c r="L36" s="5">
        <v>22.54</v>
      </c>
      <c r="M36" s="5">
        <v>23.21</v>
      </c>
      <c r="N36" s="5">
        <v>24.95</v>
      </c>
      <c r="O36" s="5">
        <v>21.68</v>
      </c>
      <c r="P36" s="5">
        <v>22.61</v>
      </c>
      <c r="Q36" s="5">
        <v>23.02</v>
      </c>
      <c r="R36" s="5">
        <v>23.75</v>
      </c>
      <c r="S36" s="5">
        <v>24.3</v>
      </c>
      <c r="T36" s="5">
        <v>22.35</v>
      </c>
      <c r="U36" s="5">
        <v>23.59</v>
      </c>
      <c r="V36" s="5">
        <v>22.17</v>
      </c>
      <c r="W36" s="5">
        <v>21.7</v>
      </c>
      <c r="X36" s="7">
        <f t="shared" si="2"/>
        <v>392.91000000000008</v>
      </c>
      <c r="Y36" s="5">
        <f t="shared" si="3"/>
        <v>23.112352941176475</v>
      </c>
    </row>
    <row r="37" spans="1:25" x14ac:dyDescent="0.2">
      <c r="A37" s="2" t="s">
        <v>88</v>
      </c>
      <c r="B37" s="3" t="s">
        <v>32</v>
      </c>
      <c r="C37" s="3" t="s">
        <v>56</v>
      </c>
      <c r="D37" s="2" t="s">
        <v>85</v>
      </c>
      <c r="E37" s="4">
        <v>7</v>
      </c>
      <c r="F37" s="5">
        <v>13.28</v>
      </c>
      <c r="G37" s="5">
        <v>11.39</v>
      </c>
      <c r="H37" s="5">
        <v>12.83</v>
      </c>
      <c r="I37" s="5">
        <v>13.31</v>
      </c>
      <c r="J37" s="5">
        <v>11.95</v>
      </c>
      <c r="K37" s="5">
        <v>11.83</v>
      </c>
      <c r="L37" s="6">
        <v>0</v>
      </c>
      <c r="M37" s="5">
        <v>13.84</v>
      </c>
      <c r="N37" s="5">
        <v>11.88</v>
      </c>
      <c r="O37" s="5">
        <v>13.8</v>
      </c>
      <c r="P37" s="5">
        <v>13.25</v>
      </c>
      <c r="Q37" s="5">
        <v>14.43</v>
      </c>
      <c r="R37" s="5">
        <v>12.82</v>
      </c>
      <c r="S37" s="5">
        <v>12.46</v>
      </c>
      <c r="T37" s="5">
        <v>11.54</v>
      </c>
      <c r="U37" s="5">
        <v>12.65</v>
      </c>
      <c r="V37" s="5">
        <v>14.69</v>
      </c>
      <c r="W37" s="5">
        <v>13.23</v>
      </c>
      <c r="X37" s="7">
        <f t="shared" si="2"/>
        <v>219.17999999999998</v>
      </c>
      <c r="Y37" s="5">
        <f t="shared" si="3"/>
        <v>12.892941176470586</v>
      </c>
    </row>
    <row r="38" spans="1:25" x14ac:dyDescent="0.2">
      <c r="A38" s="2" t="s">
        <v>89</v>
      </c>
      <c r="B38" s="3" t="s">
        <v>32</v>
      </c>
      <c r="C38" s="3" t="s">
        <v>90</v>
      </c>
      <c r="D38" s="2" t="s">
        <v>85</v>
      </c>
      <c r="E38" s="4">
        <v>9</v>
      </c>
      <c r="F38" s="5">
        <v>12.52</v>
      </c>
      <c r="G38" s="5">
        <v>11.03</v>
      </c>
      <c r="H38" s="5">
        <v>12.06</v>
      </c>
      <c r="I38" s="5">
        <v>10.67</v>
      </c>
      <c r="J38" s="5">
        <v>10.9</v>
      </c>
      <c r="K38" s="5">
        <v>12.04</v>
      </c>
      <c r="L38" s="5">
        <v>12.09</v>
      </c>
      <c r="M38" s="5">
        <v>12.13</v>
      </c>
      <c r="N38" s="6">
        <v>0</v>
      </c>
      <c r="O38" s="5">
        <v>12.54</v>
      </c>
      <c r="P38" s="5">
        <v>11.45</v>
      </c>
      <c r="Q38" s="5">
        <v>11.91</v>
      </c>
      <c r="R38" s="5">
        <v>13.54</v>
      </c>
      <c r="S38" s="5">
        <v>10.94</v>
      </c>
      <c r="T38" s="5">
        <v>12.67</v>
      </c>
      <c r="U38" s="5">
        <v>12.88</v>
      </c>
      <c r="V38" s="5">
        <v>11.25</v>
      </c>
      <c r="W38" s="5">
        <v>10.31</v>
      </c>
      <c r="X38" s="7">
        <f t="shared" si="2"/>
        <v>200.92999999999998</v>
      </c>
      <c r="Y38" s="5">
        <f t="shared" si="3"/>
        <v>11.819411764705881</v>
      </c>
    </row>
    <row r="39" spans="1:25" x14ac:dyDescent="0.2">
      <c r="A39" s="2" t="s">
        <v>91</v>
      </c>
      <c r="B39" s="3" t="s">
        <v>32</v>
      </c>
      <c r="C39" s="3" t="s">
        <v>82</v>
      </c>
      <c r="D39" s="2" t="s">
        <v>85</v>
      </c>
      <c r="E39" s="4">
        <v>9</v>
      </c>
      <c r="F39" s="5">
        <v>13.11</v>
      </c>
      <c r="G39" s="5">
        <v>11.25</v>
      </c>
      <c r="H39" s="5">
        <v>12.67</v>
      </c>
      <c r="I39" s="5">
        <v>11.46</v>
      </c>
      <c r="J39" s="5">
        <v>12.52</v>
      </c>
      <c r="K39" s="5">
        <v>11.52</v>
      </c>
      <c r="L39" s="5">
        <v>12.11</v>
      </c>
      <c r="M39" s="5">
        <v>11.92</v>
      </c>
      <c r="N39" s="6">
        <v>0</v>
      </c>
      <c r="O39" s="5">
        <v>12.21</v>
      </c>
      <c r="P39" s="5">
        <v>10.76</v>
      </c>
      <c r="Q39" s="5">
        <v>10.94</v>
      </c>
      <c r="R39" s="5">
        <v>11.03</v>
      </c>
      <c r="S39" s="5">
        <v>11.99</v>
      </c>
      <c r="T39" s="5">
        <v>11.4</v>
      </c>
      <c r="U39" s="5">
        <v>12.61</v>
      </c>
      <c r="V39" s="5">
        <v>12.44</v>
      </c>
      <c r="W39" s="5">
        <v>10.96</v>
      </c>
      <c r="X39" s="7">
        <f t="shared" si="2"/>
        <v>200.90000000000006</v>
      </c>
      <c r="Y39" s="5">
        <f t="shared" si="3"/>
        <v>11.817647058823534</v>
      </c>
    </row>
    <row r="40" spans="1:25" x14ac:dyDescent="0.2">
      <c r="A40" s="2" t="s">
        <v>92</v>
      </c>
      <c r="B40" s="3" t="s">
        <v>41</v>
      </c>
      <c r="C40" s="3" t="s">
        <v>37</v>
      </c>
      <c r="D40" s="2" t="s">
        <v>85</v>
      </c>
      <c r="E40" s="4">
        <v>11</v>
      </c>
      <c r="F40" s="5">
        <v>14.86</v>
      </c>
      <c r="G40" s="5">
        <v>14.95</v>
      </c>
      <c r="H40" s="5">
        <v>16.13</v>
      </c>
      <c r="I40" s="5">
        <v>16.82</v>
      </c>
      <c r="J40" s="5">
        <v>16.309999999999999</v>
      </c>
      <c r="K40" s="5">
        <v>15.79</v>
      </c>
      <c r="L40" s="5">
        <v>15.94</v>
      </c>
      <c r="M40" s="5">
        <v>16.39</v>
      </c>
      <c r="N40" s="5">
        <v>15.81</v>
      </c>
      <c r="O40" s="5">
        <v>15.69</v>
      </c>
      <c r="P40" s="6">
        <v>0</v>
      </c>
      <c r="Q40" s="5">
        <v>15.75</v>
      </c>
      <c r="R40" s="5">
        <v>16.97</v>
      </c>
      <c r="S40" s="5">
        <v>15.82</v>
      </c>
      <c r="T40" s="5">
        <v>15.5</v>
      </c>
      <c r="U40" s="5">
        <v>15.65</v>
      </c>
      <c r="V40" s="5">
        <v>14.95</v>
      </c>
      <c r="W40" s="5">
        <v>16.5</v>
      </c>
      <c r="X40" s="7">
        <f t="shared" si="2"/>
        <v>269.82999999999993</v>
      </c>
      <c r="Y40" s="5">
        <f t="shared" si="3"/>
        <v>15.872352941176466</v>
      </c>
    </row>
    <row r="41" spans="1:25" x14ac:dyDescent="0.2">
      <c r="A41" s="2" t="s">
        <v>93</v>
      </c>
      <c r="B41" s="3" t="s">
        <v>41</v>
      </c>
      <c r="C41" s="3" t="s">
        <v>68</v>
      </c>
      <c r="D41" s="2" t="s">
        <v>85</v>
      </c>
      <c r="E41" s="4">
        <v>13</v>
      </c>
      <c r="F41" s="5">
        <v>15.86</v>
      </c>
      <c r="G41" s="5">
        <v>15.77</v>
      </c>
      <c r="H41" s="5">
        <v>15.37</v>
      </c>
      <c r="I41" s="5">
        <v>15.79</v>
      </c>
      <c r="J41" s="5">
        <v>14.92</v>
      </c>
      <c r="K41" s="5">
        <v>15.23</v>
      </c>
      <c r="L41" s="5">
        <v>16.52</v>
      </c>
      <c r="M41" s="5">
        <v>16.27</v>
      </c>
      <c r="N41" s="5">
        <v>15.26</v>
      </c>
      <c r="O41" s="5">
        <v>16.96</v>
      </c>
      <c r="P41" s="5">
        <v>15.55</v>
      </c>
      <c r="Q41" s="5">
        <v>16.37</v>
      </c>
      <c r="R41" s="6">
        <v>0</v>
      </c>
      <c r="S41" s="5">
        <v>14.64</v>
      </c>
      <c r="T41" s="5">
        <v>16.350000000000001</v>
      </c>
      <c r="U41" s="5">
        <v>15.43</v>
      </c>
      <c r="V41" s="5">
        <v>15.69</v>
      </c>
      <c r="W41" s="5">
        <v>16.77</v>
      </c>
      <c r="X41" s="7">
        <f t="shared" si="2"/>
        <v>268.75</v>
      </c>
      <c r="Y41" s="5">
        <f t="shared" si="3"/>
        <v>15.808823529411764</v>
      </c>
    </row>
    <row r="42" spans="1:25" x14ac:dyDescent="0.2">
      <c r="A42" s="2" t="s">
        <v>94</v>
      </c>
      <c r="B42" s="3" t="s">
        <v>41</v>
      </c>
      <c r="C42" s="3" t="s">
        <v>30</v>
      </c>
      <c r="D42" s="2" t="s">
        <v>85</v>
      </c>
      <c r="E42" s="4">
        <v>7</v>
      </c>
      <c r="F42" s="5">
        <v>14.68</v>
      </c>
      <c r="G42" s="5">
        <v>14.49</v>
      </c>
      <c r="H42" s="5">
        <v>14.91</v>
      </c>
      <c r="I42" s="5">
        <v>13.08</v>
      </c>
      <c r="J42" s="5">
        <v>13.19</v>
      </c>
      <c r="K42" s="5">
        <v>13.68</v>
      </c>
      <c r="L42" s="6">
        <v>0</v>
      </c>
      <c r="M42" s="5">
        <v>13.27</v>
      </c>
      <c r="N42" s="5">
        <v>13.05</v>
      </c>
      <c r="O42" s="5">
        <v>13.51</v>
      </c>
      <c r="P42" s="5">
        <v>13.99</v>
      </c>
      <c r="Q42" s="5">
        <v>13.82</v>
      </c>
      <c r="R42" s="5">
        <v>13.75</v>
      </c>
      <c r="S42" s="5">
        <v>14.35</v>
      </c>
      <c r="T42" s="5">
        <v>14.31</v>
      </c>
      <c r="U42" s="5">
        <v>14.56</v>
      </c>
      <c r="V42" s="5">
        <v>13.85</v>
      </c>
      <c r="W42" s="5">
        <v>13.01</v>
      </c>
      <c r="X42" s="7">
        <f t="shared" si="2"/>
        <v>235.49999999999997</v>
      </c>
      <c r="Y42" s="5">
        <f t="shared" si="3"/>
        <v>13.852941176470587</v>
      </c>
    </row>
    <row r="43" spans="1:25" x14ac:dyDescent="0.2">
      <c r="A43" s="2" t="s">
        <v>95</v>
      </c>
      <c r="B43" s="3" t="s">
        <v>41</v>
      </c>
      <c r="C43" s="3" t="s">
        <v>56</v>
      </c>
      <c r="D43" s="2" t="s">
        <v>85</v>
      </c>
      <c r="E43" s="4">
        <v>7</v>
      </c>
      <c r="F43" s="5">
        <v>10.61</v>
      </c>
      <c r="G43" s="5">
        <v>10.24</v>
      </c>
      <c r="H43" s="5">
        <v>10.91</v>
      </c>
      <c r="I43" s="5">
        <v>11.51</v>
      </c>
      <c r="J43" s="5">
        <v>10.54</v>
      </c>
      <c r="K43" s="5">
        <v>10.23</v>
      </c>
      <c r="L43" s="6">
        <v>0</v>
      </c>
      <c r="M43" s="5">
        <v>11.33</v>
      </c>
      <c r="N43" s="5">
        <v>10.64</v>
      </c>
      <c r="O43" s="5">
        <v>11.16</v>
      </c>
      <c r="P43" s="5">
        <v>11.16</v>
      </c>
      <c r="Q43" s="5">
        <v>11.28</v>
      </c>
      <c r="R43" s="5">
        <v>11.11</v>
      </c>
      <c r="S43" s="5">
        <v>10.44</v>
      </c>
      <c r="T43" s="5">
        <v>10.15</v>
      </c>
      <c r="U43" s="5">
        <v>11.22</v>
      </c>
      <c r="V43" s="5">
        <v>11.77</v>
      </c>
      <c r="W43" s="5">
        <v>11.2</v>
      </c>
      <c r="X43" s="7">
        <f t="shared" si="2"/>
        <v>185.5</v>
      </c>
      <c r="Y43" s="5">
        <f t="shared" si="3"/>
        <v>10.911764705882353</v>
      </c>
    </row>
    <row r="44" spans="1:25" x14ac:dyDescent="0.2">
      <c r="A44" s="2" t="s">
        <v>96</v>
      </c>
      <c r="B44" s="3" t="s">
        <v>48</v>
      </c>
      <c r="C44" s="3" t="s">
        <v>97</v>
      </c>
      <c r="D44" s="2" t="s">
        <v>85</v>
      </c>
      <c r="E44" s="4">
        <v>13</v>
      </c>
      <c r="F44" s="5">
        <v>16.489999999999998</v>
      </c>
      <c r="G44" s="5">
        <v>15.61</v>
      </c>
      <c r="H44" s="5">
        <v>15.56</v>
      </c>
      <c r="I44" s="5">
        <v>14.78</v>
      </c>
      <c r="J44" s="5">
        <v>14.57</v>
      </c>
      <c r="K44" s="5">
        <v>16.09</v>
      </c>
      <c r="L44" s="5">
        <v>14.31</v>
      </c>
      <c r="M44" s="5">
        <v>14.82</v>
      </c>
      <c r="N44" s="5">
        <v>15.11</v>
      </c>
      <c r="O44" s="5">
        <v>14.12</v>
      </c>
      <c r="P44" s="5">
        <v>13.84</v>
      </c>
      <c r="Q44" s="5">
        <v>14.17</v>
      </c>
      <c r="R44" s="6">
        <v>0</v>
      </c>
      <c r="S44" s="5">
        <v>15.03</v>
      </c>
      <c r="T44" s="5">
        <v>14.05</v>
      </c>
      <c r="U44" s="5">
        <v>15.25</v>
      </c>
      <c r="V44" s="5">
        <v>15.6</v>
      </c>
      <c r="W44" s="5">
        <v>14.59</v>
      </c>
      <c r="X44" s="7">
        <f t="shared" si="2"/>
        <v>253.98999999999998</v>
      </c>
      <c r="Y44" s="5">
        <f t="shared" si="3"/>
        <v>14.940588235294117</v>
      </c>
    </row>
    <row r="45" spans="1:25" x14ac:dyDescent="0.2">
      <c r="A45" s="2" t="s">
        <v>98</v>
      </c>
      <c r="B45" s="3" t="s">
        <v>48</v>
      </c>
      <c r="C45" s="3" t="s">
        <v>37</v>
      </c>
      <c r="D45" s="2" t="s">
        <v>85</v>
      </c>
      <c r="E45" s="4">
        <v>11</v>
      </c>
      <c r="F45" s="5">
        <v>8.49</v>
      </c>
      <c r="G45" s="5">
        <v>8.5500000000000007</v>
      </c>
      <c r="H45" s="5">
        <v>9.19</v>
      </c>
      <c r="I45" s="5">
        <v>9.56</v>
      </c>
      <c r="J45" s="5">
        <v>9.2899999999999991</v>
      </c>
      <c r="K45" s="5">
        <v>9.01</v>
      </c>
      <c r="L45" s="5">
        <v>9.08</v>
      </c>
      <c r="M45" s="5">
        <v>9.35</v>
      </c>
      <c r="N45" s="5">
        <v>9.01</v>
      </c>
      <c r="O45" s="5">
        <v>8.94</v>
      </c>
      <c r="P45" s="6">
        <v>0</v>
      </c>
      <c r="Q45" s="5">
        <v>8.98</v>
      </c>
      <c r="R45" s="5">
        <v>9.6300000000000008</v>
      </c>
      <c r="S45" s="5">
        <v>9.0299999999999994</v>
      </c>
      <c r="T45" s="5">
        <v>8.84</v>
      </c>
      <c r="U45" s="5">
        <v>8.94</v>
      </c>
      <c r="V45" s="5">
        <v>8.5399999999999991</v>
      </c>
      <c r="W45" s="5">
        <v>9.4</v>
      </c>
      <c r="X45" s="7">
        <f t="shared" si="2"/>
        <v>153.83000000000001</v>
      </c>
      <c r="Y45" s="5">
        <f t="shared" si="3"/>
        <v>9.0488235294117647</v>
      </c>
    </row>
    <row r="46" spans="1:25" x14ac:dyDescent="0.2">
      <c r="A46" s="2" t="s">
        <v>99</v>
      </c>
      <c r="B46" s="3" t="s">
        <v>53</v>
      </c>
      <c r="C46" s="3" t="s">
        <v>100</v>
      </c>
      <c r="D46" s="2" t="s">
        <v>85</v>
      </c>
      <c r="E46" s="4">
        <v>11</v>
      </c>
      <c r="F46" s="5">
        <v>10.15</v>
      </c>
      <c r="G46" s="5">
        <v>10.59</v>
      </c>
      <c r="H46" s="5">
        <v>8.94</v>
      </c>
      <c r="I46" s="5">
        <v>10.210000000000001</v>
      </c>
      <c r="J46" s="5">
        <v>8.4600000000000009</v>
      </c>
      <c r="K46" s="5">
        <v>7.32</v>
      </c>
      <c r="L46" s="5">
        <v>8.33</v>
      </c>
      <c r="M46" s="5">
        <v>7.76</v>
      </c>
      <c r="N46" s="5">
        <v>10.58</v>
      </c>
      <c r="O46" s="5">
        <v>9.99</v>
      </c>
      <c r="P46" s="6">
        <v>0</v>
      </c>
      <c r="Q46" s="5">
        <v>8.33</v>
      </c>
      <c r="R46" s="5">
        <v>8.19</v>
      </c>
      <c r="S46" s="5">
        <v>9.99</v>
      </c>
      <c r="T46" s="5">
        <v>8.9499999999999993</v>
      </c>
      <c r="U46" s="5">
        <v>7.07</v>
      </c>
      <c r="V46" s="5">
        <v>10.039999999999999</v>
      </c>
      <c r="W46" s="5">
        <v>6.28</v>
      </c>
      <c r="X46" s="7">
        <f t="shared" si="2"/>
        <v>151.17999999999998</v>
      </c>
      <c r="Y46" s="5">
        <f t="shared" si="3"/>
        <v>8.8929411764705861</v>
      </c>
    </row>
    <row r="47" spans="1:25" x14ac:dyDescent="0.2">
      <c r="A47" s="2" t="s">
        <v>101</v>
      </c>
      <c r="B47" s="3" t="s">
        <v>53</v>
      </c>
      <c r="C47" s="3" t="s">
        <v>102</v>
      </c>
      <c r="D47" s="2" t="s">
        <v>85</v>
      </c>
      <c r="E47" s="4">
        <v>10</v>
      </c>
      <c r="F47" s="5">
        <v>8.7100000000000009</v>
      </c>
      <c r="G47" s="5">
        <v>8.23</v>
      </c>
      <c r="H47" s="5">
        <v>7.44</v>
      </c>
      <c r="I47" s="5">
        <v>10.31</v>
      </c>
      <c r="J47" s="5">
        <v>5.56</v>
      </c>
      <c r="K47" s="5">
        <v>7.34</v>
      </c>
      <c r="L47" s="5">
        <v>7.59</v>
      </c>
      <c r="M47" s="5">
        <v>7.09</v>
      </c>
      <c r="N47" s="5">
        <v>7.86</v>
      </c>
      <c r="O47" s="6">
        <v>0</v>
      </c>
      <c r="P47" s="5">
        <v>8.26</v>
      </c>
      <c r="Q47" s="5">
        <v>5.55</v>
      </c>
      <c r="R47" s="5">
        <v>7.53</v>
      </c>
      <c r="S47" s="5">
        <v>8.31</v>
      </c>
      <c r="T47" s="5">
        <v>5.51</v>
      </c>
      <c r="U47" s="5">
        <v>6.36</v>
      </c>
      <c r="V47" s="5">
        <v>5.75</v>
      </c>
      <c r="W47" s="5">
        <v>8.91</v>
      </c>
      <c r="X47" s="7">
        <f t="shared" si="2"/>
        <v>126.31000000000002</v>
      </c>
      <c r="Y47" s="5">
        <f t="shared" si="3"/>
        <v>7.4300000000000006</v>
      </c>
    </row>
    <row r="48" spans="1:25" x14ac:dyDescent="0.2">
      <c r="A48" s="2" t="s">
        <v>103</v>
      </c>
      <c r="B48" s="3" t="s">
        <v>58</v>
      </c>
      <c r="C48" s="3" t="s">
        <v>35</v>
      </c>
      <c r="D48" s="2" t="s">
        <v>85</v>
      </c>
      <c r="E48" s="4">
        <v>11</v>
      </c>
      <c r="F48" s="5">
        <v>9.41</v>
      </c>
      <c r="G48" s="5">
        <v>9.74</v>
      </c>
      <c r="H48" s="5">
        <v>8.68</v>
      </c>
      <c r="I48" s="5">
        <v>8.7799999999999994</v>
      </c>
      <c r="J48" s="5">
        <v>9.94</v>
      </c>
      <c r="K48" s="5">
        <v>10.050000000000001</v>
      </c>
      <c r="L48" s="5">
        <v>9.49</v>
      </c>
      <c r="M48" s="5">
        <v>9.5399999999999991</v>
      </c>
      <c r="N48" s="5">
        <v>9.59</v>
      </c>
      <c r="O48" s="5">
        <v>9.59</v>
      </c>
      <c r="P48" s="6">
        <v>0</v>
      </c>
      <c r="Q48" s="5">
        <v>9.5399999999999991</v>
      </c>
      <c r="R48" s="5">
        <v>9.44</v>
      </c>
      <c r="S48" s="5">
        <v>9.19</v>
      </c>
      <c r="T48" s="5">
        <v>9.64</v>
      </c>
      <c r="U48" s="5">
        <v>8.68</v>
      </c>
      <c r="V48" s="5">
        <v>9.08</v>
      </c>
      <c r="W48" s="5">
        <v>9.14</v>
      </c>
      <c r="X48" s="7">
        <f t="shared" si="2"/>
        <v>159.52000000000004</v>
      </c>
      <c r="Y48" s="5">
        <f t="shared" si="3"/>
        <v>9.3835294117647088</v>
      </c>
    </row>
    <row r="49" spans="1:25" x14ac:dyDescent="0.2">
      <c r="A49" s="2" t="s">
        <v>104</v>
      </c>
      <c r="B49" s="3" t="s">
        <v>58</v>
      </c>
      <c r="C49" s="3" t="s">
        <v>105</v>
      </c>
      <c r="D49" s="2" t="s">
        <v>85</v>
      </c>
      <c r="E49" s="4">
        <v>7</v>
      </c>
      <c r="F49" s="5">
        <v>7.49</v>
      </c>
      <c r="G49" s="5">
        <v>8.17</v>
      </c>
      <c r="H49" s="5">
        <v>8.26</v>
      </c>
      <c r="I49" s="5">
        <v>8.17</v>
      </c>
      <c r="J49" s="5">
        <v>7.49</v>
      </c>
      <c r="K49" s="5">
        <v>8.19</v>
      </c>
      <c r="L49" s="6">
        <v>0</v>
      </c>
      <c r="M49" s="5">
        <v>8.08</v>
      </c>
      <c r="N49" s="5">
        <v>7.93</v>
      </c>
      <c r="O49" s="5">
        <v>7.93</v>
      </c>
      <c r="P49" s="5">
        <v>8.7899999999999991</v>
      </c>
      <c r="Q49" s="5">
        <v>8.17</v>
      </c>
      <c r="R49" s="5">
        <v>7.75</v>
      </c>
      <c r="S49" s="5">
        <v>7.84</v>
      </c>
      <c r="T49" s="5">
        <v>8.35</v>
      </c>
      <c r="U49" s="5">
        <v>7.49</v>
      </c>
      <c r="V49" s="5">
        <v>8.3699999999999992</v>
      </c>
      <c r="W49" s="5">
        <v>8.34</v>
      </c>
      <c r="X49" s="7">
        <f t="shared" si="2"/>
        <v>136.81</v>
      </c>
      <c r="Y49" s="5">
        <f t="shared" si="3"/>
        <v>8.0476470588235287</v>
      </c>
    </row>
    <row r="50" spans="1:25" x14ac:dyDescent="0.2">
      <c r="A50" s="2" t="s">
        <v>106</v>
      </c>
      <c r="B50" s="3" t="s">
        <v>26</v>
      </c>
      <c r="C50" s="3" t="s">
        <v>105</v>
      </c>
      <c r="D50" s="2" t="s">
        <v>107</v>
      </c>
      <c r="E50" s="4">
        <v>7</v>
      </c>
      <c r="F50" s="5">
        <v>21.92</v>
      </c>
      <c r="G50" s="5">
        <v>24.61</v>
      </c>
      <c r="H50" s="5">
        <v>25.04</v>
      </c>
      <c r="I50" s="5">
        <v>24.54</v>
      </c>
      <c r="J50" s="5">
        <v>22.04</v>
      </c>
      <c r="K50" s="5">
        <v>26.08</v>
      </c>
      <c r="L50" s="6">
        <v>0</v>
      </c>
      <c r="M50" s="5">
        <v>24.12</v>
      </c>
      <c r="N50" s="5">
        <v>24.57</v>
      </c>
      <c r="O50" s="5">
        <v>24.53</v>
      </c>
      <c r="P50" s="5">
        <v>28</v>
      </c>
      <c r="Q50" s="5">
        <v>24.62</v>
      </c>
      <c r="R50" s="5">
        <v>23.43</v>
      </c>
      <c r="S50" s="5">
        <v>24.01</v>
      </c>
      <c r="T50" s="5">
        <v>25.5</v>
      </c>
      <c r="U50" s="5">
        <v>21.94</v>
      </c>
      <c r="V50" s="5">
        <v>26.92</v>
      </c>
      <c r="W50" s="5">
        <v>25.63</v>
      </c>
      <c r="X50" s="7">
        <f t="shared" si="2"/>
        <v>417.49999999999994</v>
      </c>
      <c r="Y50" s="5">
        <f t="shared" si="3"/>
        <v>24.558823529411761</v>
      </c>
    </row>
    <row r="51" spans="1:25" x14ac:dyDescent="0.2">
      <c r="A51" s="2" t="s">
        <v>108</v>
      </c>
      <c r="B51" s="3" t="s">
        <v>26</v>
      </c>
      <c r="C51" s="3" t="s">
        <v>109</v>
      </c>
      <c r="D51" s="2" t="s">
        <v>107</v>
      </c>
      <c r="E51" s="4">
        <v>13</v>
      </c>
      <c r="F51" s="5">
        <v>17.73</v>
      </c>
      <c r="G51" s="5">
        <v>17.18</v>
      </c>
      <c r="H51" s="5">
        <v>15.77</v>
      </c>
      <c r="I51" s="5">
        <v>20.21</v>
      </c>
      <c r="J51" s="5">
        <v>15.28</v>
      </c>
      <c r="K51" s="5">
        <v>19.68</v>
      </c>
      <c r="L51" s="5">
        <v>18.09</v>
      </c>
      <c r="M51" s="5">
        <v>18.3</v>
      </c>
      <c r="N51" s="5">
        <v>19.059999999999999</v>
      </c>
      <c r="O51" s="5">
        <v>21</v>
      </c>
      <c r="P51" s="5">
        <v>14.8</v>
      </c>
      <c r="Q51" s="5">
        <v>19.39</v>
      </c>
      <c r="R51" s="6">
        <v>0</v>
      </c>
      <c r="S51" s="5">
        <v>15.31</v>
      </c>
      <c r="T51" s="5">
        <v>18.739999999999998</v>
      </c>
      <c r="U51" s="5">
        <v>19.84</v>
      </c>
      <c r="V51" s="5">
        <v>16.12</v>
      </c>
      <c r="W51" s="5">
        <v>19.260000000000002</v>
      </c>
      <c r="X51" s="7">
        <f t="shared" si="2"/>
        <v>305.76</v>
      </c>
      <c r="Y51" s="5">
        <f t="shared" si="3"/>
        <v>17.985882352941175</v>
      </c>
    </row>
    <row r="52" spans="1:25" x14ac:dyDescent="0.2">
      <c r="A52" s="2" t="s">
        <v>110</v>
      </c>
      <c r="B52" s="3" t="s">
        <v>32</v>
      </c>
      <c r="C52" s="3" t="s">
        <v>49</v>
      </c>
      <c r="D52" s="2" t="s">
        <v>107</v>
      </c>
      <c r="E52" s="4">
        <v>14</v>
      </c>
      <c r="F52" s="5">
        <v>17.309999999999999</v>
      </c>
      <c r="G52" s="5">
        <v>16.45</v>
      </c>
      <c r="H52" s="5">
        <v>17.7</v>
      </c>
      <c r="I52" s="5">
        <v>18.27</v>
      </c>
      <c r="J52" s="5">
        <v>17.62</v>
      </c>
      <c r="K52" s="5">
        <v>15.53</v>
      </c>
      <c r="L52" s="5">
        <v>16.5</v>
      </c>
      <c r="M52" s="5">
        <v>17.600000000000001</v>
      </c>
      <c r="N52" s="5">
        <v>15.72</v>
      </c>
      <c r="O52" s="5">
        <v>16.239999999999998</v>
      </c>
      <c r="P52" s="5">
        <v>16.95</v>
      </c>
      <c r="Q52" s="5">
        <v>20.170000000000002</v>
      </c>
      <c r="R52" s="5">
        <v>16.91</v>
      </c>
      <c r="S52" s="6">
        <v>0</v>
      </c>
      <c r="T52" s="5">
        <v>18.78</v>
      </c>
      <c r="U52" s="5">
        <v>18</v>
      </c>
      <c r="V52" s="5">
        <v>19.75</v>
      </c>
      <c r="W52" s="5">
        <v>18.12</v>
      </c>
      <c r="X52" s="7">
        <f t="shared" si="2"/>
        <v>297.62</v>
      </c>
      <c r="Y52" s="5">
        <f t="shared" si="3"/>
        <v>17.507058823529412</v>
      </c>
    </row>
    <row r="53" spans="1:25" x14ac:dyDescent="0.2">
      <c r="A53" s="2" t="s">
        <v>111</v>
      </c>
      <c r="B53" s="3" t="s">
        <v>32</v>
      </c>
      <c r="C53" s="3" t="s">
        <v>112</v>
      </c>
      <c r="D53" s="2" t="s">
        <v>107</v>
      </c>
      <c r="E53" s="4">
        <v>5</v>
      </c>
      <c r="F53" s="5">
        <v>15.83</v>
      </c>
      <c r="G53" s="5">
        <v>18.22</v>
      </c>
      <c r="H53" s="5">
        <v>19.52</v>
      </c>
      <c r="I53" s="5">
        <v>18.5</v>
      </c>
      <c r="J53" s="6">
        <v>0</v>
      </c>
      <c r="K53" s="5">
        <v>17.260000000000002</v>
      </c>
      <c r="L53" s="5">
        <v>15.05</v>
      </c>
      <c r="M53" s="5">
        <v>15.12</v>
      </c>
      <c r="N53" s="5">
        <v>18.04</v>
      </c>
      <c r="O53" s="5">
        <v>18.38</v>
      </c>
      <c r="P53" s="5">
        <v>19.73</v>
      </c>
      <c r="Q53" s="5">
        <v>17.73</v>
      </c>
      <c r="R53" s="5">
        <v>14.79</v>
      </c>
      <c r="S53" s="5">
        <v>17.559999999999999</v>
      </c>
      <c r="T53" s="5">
        <v>16.940000000000001</v>
      </c>
      <c r="U53" s="5">
        <v>17.61</v>
      </c>
      <c r="V53" s="5">
        <v>16.510000000000002</v>
      </c>
      <c r="W53" s="5">
        <v>19.309999999999999</v>
      </c>
      <c r="X53" s="7">
        <f t="shared" si="2"/>
        <v>296.09999999999997</v>
      </c>
      <c r="Y53" s="5">
        <f t="shared" si="3"/>
        <v>17.417647058823526</v>
      </c>
    </row>
    <row r="54" spans="1:25" x14ac:dyDescent="0.2">
      <c r="A54" s="2" t="s">
        <v>113</v>
      </c>
      <c r="B54" s="3" t="s">
        <v>32</v>
      </c>
      <c r="C54" s="3" t="s">
        <v>82</v>
      </c>
      <c r="D54" s="2" t="s">
        <v>107</v>
      </c>
      <c r="E54" s="4">
        <v>9</v>
      </c>
      <c r="F54" s="5">
        <v>13.29</v>
      </c>
      <c r="G54" s="5">
        <v>11.01</v>
      </c>
      <c r="H54" s="5">
        <v>12.65</v>
      </c>
      <c r="I54" s="5">
        <v>11.39</v>
      </c>
      <c r="J54" s="5">
        <v>12.56</v>
      </c>
      <c r="K54" s="5">
        <v>11.34</v>
      </c>
      <c r="L54" s="5">
        <v>12.1</v>
      </c>
      <c r="M54" s="5">
        <v>11.98</v>
      </c>
      <c r="N54" s="6">
        <v>0</v>
      </c>
      <c r="O54" s="5">
        <v>12.06</v>
      </c>
      <c r="P54" s="5">
        <v>10.45</v>
      </c>
      <c r="Q54" s="5">
        <v>10.74</v>
      </c>
      <c r="R54" s="5">
        <v>10.88</v>
      </c>
      <c r="S54" s="5">
        <v>11.85</v>
      </c>
      <c r="T54" s="5">
        <v>11.23</v>
      </c>
      <c r="U54" s="5">
        <v>12.73</v>
      </c>
      <c r="V54" s="5">
        <v>12.48</v>
      </c>
      <c r="W54" s="5">
        <v>10.66</v>
      </c>
      <c r="X54" s="7">
        <f t="shared" si="2"/>
        <v>199.39999999999995</v>
      </c>
      <c r="Y54" s="5">
        <f t="shared" si="3"/>
        <v>11.72941176470588</v>
      </c>
    </row>
    <row r="55" spans="1:25" x14ac:dyDescent="0.2">
      <c r="A55" s="2" t="s">
        <v>114</v>
      </c>
      <c r="B55" s="3" t="s">
        <v>32</v>
      </c>
      <c r="C55" s="3" t="s">
        <v>76</v>
      </c>
      <c r="D55" s="2" t="s">
        <v>107</v>
      </c>
      <c r="E55" s="4">
        <v>6</v>
      </c>
      <c r="F55" s="5">
        <v>7.68</v>
      </c>
      <c r="G55" s="5">
        <v>7.59</v>
      </c>
      <c r="H55" s="5">
        <v>7.68</v>
      </c>
      <c r="I55" s="5">
        <v>7.54</v>
      </c>
      <c r="J55" s="5">
        <v>8.0500000000000007</v>
      </c>
      <c r="K55" s="6">
        <v>0</v>
      </c>
      <c r="L55" s="5">
        <v>7.39</v>
      </c>
      <c r="M55" s="5">
        <v>7.65</v>
      </c>
      <c r="N55" s="5">
        <v>8.3000000000000007</v>
      </c>
      <c r="O55" s="5">
        <v>7.09</v>
      </c>
      <c r="P55" s="5">
        <v>7.42</v>
      </c>
      <c r="Q55" s="5">
        <v>7.55</v>
      </c>
      <c r="R55" s="5">
        <v>7.84</v>
      </c>
      <c r="S55" s="5">
        <v>8.06</v>
      </c>
      <c r="T55" s="5">
        <v>7.34</v>
      </c>
      <c r="U55" s="5">
        <v>7.77</v>
      </c>
      <c r="V55" s="5">
        <v>7.25</v>
      </c>
      <c r="W55" s="5">
        <v>7.09</v>
      </c>
      <c r="X55" s="7">
        <f t="shared" si="2"/>
        <v>129.29</v>
      </c>
      <c r="Y55" s="5">
        <f t="shared" si="3"/>
        <v>7.6052941176470581</v>
      </c>
    </row>
    <row r="56" spans="1:25" x14ac:dyDescent="0.2">
      <c r="A56" s="2" t="s">
        <v>115</v>
      </c>
      <c r="B56" s="3" t="s">
        <v>41</v>
      </c>
      <c r="C56" s="3" t="s">
        <v>54</v>
      </c>
      <c r="D56" s="2" t="s">
        <v>107</v>
      </c>
      <c r="E56" s="4">
        <v>10</v>
      </c>
      <c r="F56" s="5">
        <v>12.97</v>
      </c>
      <c r="G56" s="5">
        <v>13.69</v>
      </c>
      <c r="H56" s="5">
        <v>12.75</v>
      </c>
      <c r="I56" s="5">
        <v>13.41</v>
      </c>
      <c r="J56" s="5">
        <v>13.18</v>
      </c>
      <c r="K56" s="5">
        <v>12.57</v>
      </c>
      <c r="L56" s="5">
        <v>13.8</v>
      </c>
      <c r="M56" s="5">
        <v>13.13</v>
      </c>
      <c r="N56" s="5">
        <v>13.28</v>
      </c>
      <c r="O56" s="6">
        <v>0</v>
      </c>
      <c r="P56" s="5">
        <v>13.75</v>
      </c>
      <c r="Q56" s="5">
        <v>12.36</v>
      </c>
      <c r="R56" s="5">
        <v>13.94</v>
      </c>
      <c r="S56" s="5">
        <v>13.13</v>
      </c>
      <c r="T56" s="5">
        <v>13.62</v>
      </c>
      <c r="U56" s="5">
        <v>14.29</v>
      </c>
      <c r="V56" s="5">
        <v>12.94</v>
      </c>
      <c r="W56" s="5">
        <v>13.35</v>
      </c>
      <c r="X56" s="7">
        <f t="shared" si="2"/>
        <v>226.15999999999997</v>
      </c>
      <c r="Y56" s="5">
        <f t="shared" si="3"/>
        <v>13.303529411764703</v>
      </c>
    </row>
    <row r="57" spans="1:25" x14ac:dyDescent="0.2">
      <c r="A57" s="2" t="s">
        <v>116</v>
      </c>
      <c r="B57" s="3" t="s">
        <v>41</v>
      </c>
      <c r="C57" s="3" t="s">
        <v>105</v>
      </c>
      <c r="D57" s="2" t="s">
        <v>107</v>
      </c>
      <c r="E57" s="4">
        <v>7</v>
      </c>
      <c r="F57" s="5">
        <v>12.21</v>
      </c>
      <c r="G57" s="5">
        <v>13.06</v>
      </c>
      <c r="H57" s="5">
        <v>13.16</v>
      </c>
      <c r="I57" s="5">
        <v>12.95</v>
      </c>
      <c r="J57" s="5">
        <v>12.55</v>
      </c>
      <c r="K57" s="5">
        <v>13.39</v>
      </c>
      <c r="L57" s="6">
        <v>0</v>
      </c>
      <c r="M57" s="5">
        <v>12.85</v>
      </c>
      <c r="N57" s="5">
        <v>13.01</v>
      </c>
      <c r="O57" s="5">
        <v>12.99</v>
      </c>
      <c r="P57" s="5">
        <v>13.6</v>
      </c>
      <c r="Q57" s="5">
        <v>12.98</v>
      </c>
      <c r="R57" s="5">
        <v>12.85</v>
      </c>
      <c r="S57" s="5">
        <v>12.99</v>
      </c>
      <c r="T57" s="5">
        <v>13.3</v>
      </c>
      <c r="U57" s="5">
        <v>12.33</v>
      </c>
      <c r="V57" s="5">
        <v>13.54</v>
      </c>
      <c r="W57" s="5">
        <v>13.08</v>
      </c>
      <c r="X57" s="7">
        <f t="shared" si="2"/>
        <v>220.84000000000003</v>
      </c>
      <c r="Y57" s="5">
        <f t="shared" si="3"/>
        <v>12.990588235294119</v>
      </c>
    </row>
    <row r="58" spans="1:25" x14ac:dyDescent="0.2">
      <c r="A58" s="2" t="s">
        <v>117</v>
      </c>
      <c r="B58" s="3" t="s">
        <v>41</v>
      </c>
      <c r="C58" s="3" t="s">
        <v>90</v>
      </c>
      <c r="D58" s="2" t="s">
        <v>107</v>
      </c>
      <c r="E58" s="4">
        <v>9</v>
      </c>
      <c r="F58" s="5">
        <v>12.8</v>
      </c>
      <c r="G58" s="5">
        <v>12.29</v>
      </c>
      <c r="H58" s="5">
        <v>12.92</v>
      </c>
      <c r="I58" s="5">
        <v>12.32</v>
      </c>
      <c r="J58" s="5">
        <v>11.91</v>
      </c>
      <c r="K58" s="5">
        <v>12.96</v>
      </c>
      <c r="L58" s="5">
        <v>12.25</v>
      </c>
      <c r="M58" s="5">
        <v>13.35</v>
      </c>
      <c r="N58" s="6">
        <v>0</v>
      </c>
      <c r="O58" s="5">
        <v>13.2</v>
      </c>
      <c r="P58" s="5">
        <v>13.02</v>
      </c>
      <c r="Q58" s="5">
        <v>13.05</v>
      </c>
      <c r="R58" s="5">
        <v>13.63</v>
      </c>
      <c r="S58" s="5">
        <v>12.56</v>
      </c>
      <c r="T58" s="5">
        <v>13.11</v>
      </c>
      <c r="U58" s="5">
        <v>13.14</v>
      </c>
      <c r="V58" s="5">
        <v>12.06</v>
      </c>
      <c r="W58" s="5">
        <v>11.74</v>
      </c>
      <c r="X58" s="7">
        <f t="shared" si="2"/>
        <v>216.31</v>
      </c>
      <c r="Y58" s="5">
        <f t="shared" si="3"/>
        <v>12.724117647058824</v>
      </c>
    </row>
    <row r="59" spans="1:25" x14ac:dyDescent="0.2">
      <c r="A59" s="2" t="s">
        <v>118</v>
      </c>
      <c r="B59" s="3" t="s">
        <v>41</v>
      </c>
      <c r="C59" s="3" t="s">
        <v>82</v>
      </c>
      <c r="D59" s="2" t="s">
        <v>107</v>
      </c>
      <c r="E59" s="4">
        <v>9</v>
      </c>
      <c r="F59" s="5">
        <v>12.87</v>
      </c>
      <c r="G59" s="5">
        <v>11.93</v>
      </c>
      <c r="H59" s="5">
        <v>13.06</v>
      </c>
      <c r="I59" s="5">
        <v>11.53</v>
      </c>
      <c r="J59" s="5">
        <v>12.63</v>
      </c>
      <c r="K59" s="5">
        <v>12.04</v>
      </c>
      <c r="L59" s="5">
        <v>12.21</v>
      </c>
      <c r="M59" s="5">
        <v>11.67</v>
      </c>
      <c r="N59" s="6">
        <v>0</v>
      </c>
      <c r="O59" s="5">
        <v>12.91</v>
      </c>
      <c r="P59" s="5">
        <v>11.56</v>
      </c>
      <c r="Q59" s="5">
        <v>11.43</v>
      </c>
      <c r="R59" s="5">
        <v>11.29</v>
      </c>
      <c r="S59" s="5">
        <v>12.57</v>
      </c>
      <c r="T59" s="5">
        <v>11.94</v>
      </c>
      <c r="U59" s="5">
        <v>12.45</v>
      </c>
      <c r="V59" s="5">
        <v>12.41</v>
      </c>
      <c r="W59" s="5">
        <v>11.78</v>
      </c>
      <c r="X59" s="7">
        <f t="shared" si="2"/>
        <v>206.27999999999997</v>
      </c>
      <c r="Y59" s="5">
        <f t="shared" si="3"/>
        <v>12.134117647058822</v>
      </c>
    </row>
    <row r="60" spans="1:25" x14ac:dyDescent="0.2">
      <c r="A60" s="2" t="s">
        <v>119</v>
      </c>
      <c r="B60" s="3" t="s">
        <v>48</v>
      </c>
      <c r="C60" s="3" t="s">
        <v>120</v>
      </c>
      <c r="D60" s="2" t="s">
        <v>107</v>
      </c>
      <c r="E60" s="4">
        <v>11</v>
      </c>
      <c r="F60" s="5">
        <v>11.58</v>
      </c>
      <c r="G60" s="5">
        <v>11.12</v>
      </c>
      <c r="H60" s="5">
        <v>11.52</v>
      </c>
      <c r="I60" s="5">
        <v>10.62</v>
      </c>
      <c r="J60" s="5">
        <v>11.22</v>
      </c>
      <c r="K60" s="5">
        <v>11.02</v>
      </c>
      <c r="L60" s="5">
        <v>11.91</v>
      </c>
      <c r="M60" s="5">
        <v>10.9</v>
      </c>
      <c r="N60" s="5">
        <v>11.66</v>
      </c>
      <c r="O60" s="5">
        <v>10.88</v>
      </c>
      <c r="P60" s="6">
        <v>0</v>
      </c>
      <c r="Q60" s="5">
        <v>12.26</v>
      </c>
      <c r="R60" s="5">
        <v>12.47</v>
      </c>
      <c r="S60" s="5">
        <v>12.3</v>
      </c>
      <c r="T60" s="5">
        <v>11.91</v>
      </c>
      <c r="U60" s="5">
        <v>11.31</v>
      </c>
      <c r="V60" s="5">
        <v>12.09</v>
      </c>
      <c r="W60" s="5">
        <v>12.33</v>
      </c>
      <c r="X60" s="7">
        <f t="shared" si="2"/>
        <v>197.10000000000002</v>
      </c>
      <c r="Y60" s="5">
        <f t="shared" si="3"/>
        <v>11.594117647058825</v>
      </c>
    </row>
    <row r="61" spans="1:25" x14ac:dyDescent="0.2">
      <c r="A61" s="2" t="s">
        <v>121</v>
      </c>
      <c r="B61" s="3" t="s">
        <v>48</v>
      </c>
      <c r="C61" s="3" t="s">
        <v>46</v>
      </c>
      <c r="D61" s="2" t="s">
        <v>107</v>
      </c>
      <c r="E61" s="4">
        <v>11</v>
      </c>
      <c r="F61" s="5">
        <v>10.99</v>
      </c>
      <c r="G61" s="5">
        <v>10.97</v>
      </c>
      <c r="H61" s="5">
        <v>11.43</v>
      </c>
      <c r="I61" s="5">
        <v>10.92</v>
      </c>
      <c r="J61" s="5">
        <v>11.24</v>
      </c>
      <c r="K61" s="5">
        <v>11.38</v>
      </c>
      <c r="L61" s="5">
        <v>10.95</v>
      </c>
      <c r="M61" s="5">
        <v>11.14</v>
      </c>
      <c r="N61" s="5">
        <v>10.86</v>
      </c>
      <c r="O61" s="5">
        <v>11.05</v>
      </c>
      <c r="P61" s="6">
        <v>0</v>
      </c>
      <c r="Q61" s="5">
        <v>10.61</v>
      </c>
      <c r="R61" s="5">
        <v>10.97</v>
      </c>
      <c r="S61" s="5">
        <v>11.84</v>
      </c>
      <c r="T61" s="5">
        <v>11.49</v>
      </c>
      <c r="U61" s="5">
        <v>11.17</v>
      </c>
      <c r="V61" s="5">
        <v>10.37</v>
      </c>
      <c r="W61" s="5">
        <v>11.03</v>
      </c>
      <c r="X61" s="7">
        <f t="shared" si="2"/>
        <v>188.41000000000003</v>
      </c>
      <c r="Y61" s="5">
        <f t="shared" si="3"/>
        <v>11.082941176470589</v>
      </c>
    </row>
    <row r="62" spans="1:25" x14ac:dyDescent="0.2">
      <c r="A62" s="2" t="s">
        <v>122</v>
      </c>
      <c r="B62" s="3" t="s">
        <v>53</v>
      </c>
      <c r="C62" s="3" t="s">
        <v>66</v>
      </c>
      <c r="D62" s="2" t="s">
        <v>107</v>
      </c>
      <c r="E62" s="4">
        <v>10</v>
      </c>
      <c r="F62" s="5">
        <v>8.5500000000000007</v>
      </c>
      <c r="G62" s="5">
        <v>9.32</v>
      </c>
      <c r="H62" s="5">
        <v>6.61</v>
      </c>
      <c r="I62" s="5">
        <v>5.98</v>
      </c>
      <c r="J62" s="5">
        <v>8.06</v>
      </c>
      <c r="K62" s="5">
        <v>8.58</v>
      </c>
      <c r="L62" s="5">
        <v>6.69</v>
      </c>
      <c r="M62" s="5">
        <v>7.34</v>
      </c>
      <c r="N62" s="5">
        <v>8.6300000000000008</v>
      </c>
      <c r="O62" s="6">
        <v>0</v>
      </c>
      <c r="P62" s="5">
        <v>8.25</v>
      </c>
      <c r="Q62" s="5">
        <v>6.52</v>
      </c>
      <c r="R62" s="5">
        <v>9.35</v>
      </c>
      <c r="S62" s="5">
        <v>9.16</v>
      </c>
      <c r="T62" s="5">
        <v>8.67</v>
      </c>
      <c r="U62" s="5">
        <v>9.34</v>
      </c>
      <c r="V62" s="5">
        <v>6.54</v>
      </c>
      <c r="W62" s="5">
        <v>8.69</v>
      </c>
      <c r="X62" s="7">
        <f t="shared" si="2"/>
        <v>136.28</v>
      </c>
      <c r="Y62" s="5">
        <f t="shared" si="3"/>
        <v>8.0164705882352933</v>
      </c>
    </row>
    <row r="63" spans="1:25" x14ac:dyDescent="0.2">
      <c r="A63" s="2" t="s">
        <v>123</v>
      </c>
      <c r="B63" s="3" t="s">
        <v>53</v>
      </c>
      <c r="C63" s="3" t="s">
        <v>42</v>
      </c>
      <c r="D63" s="2" t="s">
        <v>107</v>
      </c>
      <c r="E63" s="4">
        <v>14</v>
      </c>
      <c r="F63" s="5">
        <v>7.4</v>
      </c>
      <c r="G63" s="5">
        <v>7.36</v>
      </c>
      <c r="H63" s="5">
        <v>5.77</v>
      </c>
      <c r="I63" s="5">
        <v>8.0500000000000007</v>
      </c>
      <c r="J63" s="5">
        <v>7.51</v>
      </c>
      <c r="K63" s="5">
        <v>4.97</v>
      </c>
      <c r="L63" s="5">
        <v>6.18</v>
      </c>
      <c r="M63" s="5">
        <v>9.09</v>
      </c>
      <c r="N63" s="5">
        <v>7.86</v>
      </c>
      <c r="O63" s="5">
        <v>6.12</v>
      </c>
      <c r="P63" s="5">
        <v>8.2200000000000006</v>
      </c>
      <c r="Q63" s="5">
        <v>7.42</v>
      </c>
      <c r="R63" s="5">
        <v>6.46</v>
      </c>
      <c r="S63" s="6">
        <v>0</v>
      </c>
      <c r="T63" s="5">
        <v>4.3499999999999996</v>
      </c>
      <c r="U63" s="5">
        <v>7.78</v>
      </c>
      <c r="V63" s="5">
        <v>7.89</v>
      </c>
      <c r="W63" s="5">
        <v>6.22</v>
      </c>
      <c r="X63" s="7">
        <f t="shared" si="2"/>
        <v>118.64999999999999</v>
      </c>
      <c r="Y63" s="5">
        <f t="shared" si="3"/>
        <v>6.9794117647058815</v>
      </c>
    </row>
    <row r="64" spans="1:25" x14ac:dyDescent="0.2">
      <c r="A64" s="2" t="s">
        <v>124</v>
      </c>
      <c r="B64" s="3" t="s">
        <v>58</v>
      </c>
      <c r="C64" s="3" t="s">
        <v>56</v>
      </c>
      <c r="D64" s="2" t="s">
        <v>107</v>
      </c>
      <c r="E64" s="4">
        <v>7</v>
      </c>
      <c r="F64" s="5">
        <v>8.81</v>
      </c>
      <c r="G64" s="5">
        <v>8.07</v>
      </c>
      <c r="H64" s="5">
        <v>8.8000000000000007</v>
      </c>
      <c r="I64" s="5">
        <v>8.74</v>
      </c>
      <c r="J64" s="5">
        <v>8.39</v>
      </c>
      <c r="K64" s="5">
        <v>8.3000000000000007</v>
      </c>
      <c r="L64" s="6">
        <v>0</v>
      </c>
      <c r="M64" s="5">
        <v>9.09</v>
      </c>
      <c r="N64" s="5">
        <v>8.26</v>
      </c>
      <c r="O64" s="5">
        <v>8.74</v>
      </c>
      <c r="P64" s="5">
        <v>8.65</v>
      </c>
      <c r="Q64" s="5">
        <v>9.19</v>
      </c>
      <c r="R64" s="5">
        <v>8.5500000000000007</v>
      </c>
      <c r="S64" s="5">
        <v>8.6199999999999992</v>
      </c>
      <c r="T64" s="5">
        <v>8.07</v>
      </c>
      <c r="U64" s="5">
        <v>8.5500000000000007</v>
      </c>
      <c r="V64" s="5">
        <v>9.3800000000000008</v>
      </c>
      <c r="W64" s="5">
        <v>8.65</v>
      </c>
      <c r="X64" s="7">
        <f t="shared" si="2"/>
        <v>146.86000000000001</v>
      </c>
      <c r="Y64" s="5">
        <f t="shared" si="3"/>
        <v>8.6388235294117663</v>
      </c>
    </row>
    <row r="65" spans="1:25" x14ac:dyDescent="0.2">
      <c r="A65" s="2" t="s">
        <v>125</v>
      </c>
      <c r="B65" s="3" t="s">
        <v>58</v>
      </c>
      <c r="C65" s="3" t="s">
        <v>37</v>
      </c>
      <c r="D65" s="2" t="s">
        <v>107</v>
      </c>
      <c r="E65" s="4">
        <v>11</v>
      </c>
      <c r="F65" s="5">
        <v>6.92</v>
      </c>
      <c r="G65" s="5">
        <v>7.44</v>
      </c>
      <c r="H65" s="5">
        <v>7.48</v>
      </c>
      <c r="I65" s="5">
        <v>7.66</v>
      </c>
      <c r="J65" s="5">
        <v>8.08</v>
      </c>
      <c r="K65" s="5">
        <v>7.8</v>
      </c>
      <c r="L65" s="5">
        <v>7.39</v>
      </c>
      <c r="M65" s="5">
        <v>7.85</v>
      </c>
      <c r="N65" s="5">
        <v>7.71</v>
      </c>
      <c r="O65" s="5">
        <v>7.41</v>
      </c>
      <c r="P65" s="6">
        <v>0</v>
      </c>
      <c r="Q65" s="5">
        <v>7.29</v>
      </c>
      <c r="R65" s="5">
        <v>8.08</v>
      </c>
      <c r="S65" s="5">
        <v>7.8</v>
      </c>
      <c r="T65" s="5">
        <v>7.2</v>
      </c>
      <c r="U65" s="5">
        <v>7.38</v>
      </c>
      <c r="V65" s="5">
        <v>7.34</v>
      </c>
      <c r="W65" s="5">
        <v>8.27</v>
      </c>
      <c r="X65" s="7">
        <f t="shared" si="2"/>
        <v>129.1</v>
      </c>
      <c r="Y65" s="5">
        <f t="shared" si="3"/>
        <v>7.5941176470588232</v>
      </c>
    </row>
    <row r="66" spans="1:25" x14ac:dyDescent="0.2">
      <c r="A66" s="2" t="s">
        <v>126</v>
      </c>
      <c r="B66" s="3" t="s">
        <v>26</v>
      </c>
      <c r="C66" s="3" t="s">
        <v>127</v>
      </c>
      <c r="D66" s="2" t="s">
        <v>128</v>
      </c>
      <c r="E66" s="4">
        <v>8</v>
      </c>
      <c r="F66" s="5">
        <v>17.59</v>
      </c>
      <c r="G66" s="5">
        <v>23.42</v>
      </c>
      <c r="H66" s="5">
        <v>22.91</v>
      </c>
      <c r="I66" s="5">
        <v>17.98</v>
      </c>
      <c r="J66" s="5">
        <v>16.91</v>
      </c>
      <c r="K66" s="5">
        <v>23.08</v>
      </c>
      <c r="L66" s="5">
        <v>21.55</v>
      </c>
      <c r="M66" s="6">
        <v>0</v>
      </c>
      <c r="N66" s="5">
        <v>22.7</v>
      </c>
      <c r="O66" s="5">
        <v>20.36</v>
      </c>
      <c r="P66" s="5">
        <v>20.84</v>
      </c>
      <c r="Q66" s="5">
        <v>17.920000000000002</v>
      </c>
      <c r="R66" s="5">
        <v>20.71</v>
      </c>
      <c r="S66" s="5">
        <v>18.100000000000001</v>
      </c>
      <c r="T66" s="5">
        <v>19.78</v>
      </c>
      <c r="U66" s="5">
        <v>19.39</v>
      </c>
      <c r="V66" s="5">
        <v>18.489999999999998</v>
      </c>
      <c r="W66" s="5">
        <v>21.93</v>
      </c>
      <c r="X66" s="7">
        <f t="shared" ref="X66:X97" si="4">SUM(F66:W66)</f>
        <v>343.66</v>
      </c>
      <c r="Y66" s="5">
        <f t="shared" ref="Y66:Y97" si="5">IFERROR(AVERAGEIF(F66:W66,"&gt;0"),0)</f>
        <v>20.215294117647062</v>
      </c>
    </row>
    <row r="67" spans="1:25" x14ac:dyDescent="0.2">
      <c r="A67" s="2" t="s">
        <v>129</v>
      </c>
      <c r="B67" s="3" t="s">
        <v>26</v>
      </c>
      <c r="C67" s="3" t="s">
        <v>112</v>
      </c>
      <c r="D67" s="2" t="s">
        <v>128</v>
      </c>
      <c r="E67" s="4">
        <v>5</v>
      </c>
      <c r="F67" s="5">
        <v>18.18</v>
      </c>
      <c r="G67" s="5">
        <v>20.75</v>
      </c>
      <c r="H67" s="5">
        <v>21.41</v>
      </c>
      <c r="I67" s="5">
        <v>20.75</v>
      </c>
      <c r="J67" s="6">
        <v>0</v>
      </c>
      <c r="K67" s="5">
        <v>19.91</v>
      </c>
      <c r="L67" s="5">
        <v>17.18</v>
      </c>
      <c r="M67" s="5">
        <v>17.22</v>
      </c>
      <c r="N67" s="5">
        <v>20.36</v>
      </c>
      <c r="O67" s="5">
        <v>20.6</v>
      </c>
      <c r="P67" s="5">
        <v>21.87</v>
      </c>
      <c r="Q67" s="5">
        <v>21.87</v>
      </c>
      <c r="R67" s="5">
        <v>17.37</v>
      </c>
      <c r="S67" s="5">
        <v>21.32</v>
      </c>
      <c r="T67" s="5">
        <v>19.47</v>
      </c>
      <c r="U67" s="5">
        <v>20.49</v>
      </c>
      <c r="V67" s="5">
        <v>18.96</v>
      </c>
      <c r="W67" s="5">
        <v>21.68</v>
      </c>
      <c r="X67" s="7">
        <f t="shared" si="4"/>
        <v>339.39</v>
      </c>
      <c r="Y67" s="5">
        <f t="shared" si="5"/>
        <v>19.964117647058824</v>
      </c>
    </row>
    <row r="68" spans="1:25" x14ac:dyDescent="0.2">
      <c r="A68" s="2" t="s">
        <v>130</v>
      </c>
      <c r="B68" s="3" t="s">
        <v>32</v>
      </c>
      <c r="C68" s="3" t="s">
        <v>131</v>
      </c>
      <c r="D68" s="2" t="s">
        <v>128</v>
      </c>
      <c r="E68" s="4">
        <v>11</v>
      </c>
      <c r="F68" s="5">
        <v>20.89</v>
      </c>
      <c r="G68" s="5">
        <v>24.16</v>
      </c>
      <c r="H68" s="5">
        <v>22.12</v>
      </c>
      <c r="I68" s="5">
        <v>22.78</v>
      </c>
      <c r="J68" s="5">
        <v>21.94</v>
      </c>
      <c r="K68" s="5">
        <v>23.43</v>
      </c>
      <c r="L68" s="5">
        <v>23.37</v>
      </c>
      <c r="M68" s="5">
        <v>22.14</v>
      </c>
      <c r="N68" s="5">
        <v>23.86</v>
      </c>
      <c r="O68" s="5">
        <v>21.82</v>
      </c>
      <c r="P68" s="6">
        <v>0</v>
      </c>
      <c r="Q68" s="5">
        <v>22.09</v>
      </c>
      <c r="R68" s="5">
        <v>21.74</v>
      </c>
      <c r="S68" s="5">
        <v>21.4</v>
      </c>
      <c r="T68" s="5">
        <v>23.72</v>
      </c>
      <c r="U68" s="5">
        <v>22.32</v>
      </c>
      <c r="V68" s="5">
        <v>22.98</v>
      </c>
      <c r="W68" s="5">
        <v>22.64</v>
      </c>
      <c r="X68" s="7">
        <f t="shared" si="4"/>
        <v>383.39999999999992</v>
      </c>
      <c r="Y68" s="5">
        <f t="shared" si="5"/>
        <v>22.552941176470583</v>
      </c>
    </row>
    <row r="69" spans="1:25" x14ac:dyDescent="0.2">
      <c r="A69" s="2" t="s">
        <v>132</v>
      </c>
      <c r="B69" s="3" t="s">
        <v>32</v>
      </c>
      <c r="C69" s="3" t="s">
        <v>51</v>
      </c>
      <c r="D69" s="2" t="s">
        <v>128</v>
      </c>
      <c r="E69" s="4">
        <v>8</v>
      </c>
      <c r="F69" s="5">
        <v>16.079999999999998</v>
      </c>
      <c r="G69" s="5">
        <v>14.68</v>
      </c>
      <c r="H69" s="5">
        <v>16.91</v>
      </c>
      <c r="I69" s="5">
        <v>16.829999999999998</v>
      </c>
      <c r="J69" s="5">
        <v>15.74</v>
      </c>
      <c r="K69" s="5">
        <v>15.35</v>
      </c>
      <c r="L69" s="5">
        <v>14.09</v>
      </c>
      <c r="M69" s="6">
        <v>0</v>
      </c>
      <c r="N69" s="5">
        <v>15.22</v>
      </c>
      <c r="O69" s="5">
        <v>16.11</v>
      </c>
      <c r="P69" s="5">
        <v>14.83</v>
      </c>
      <c r="Q69" s="5">
        <v>15.4</v>
      </c>
      <c r="R69" s="5">
        <v>15.12</v>
      </c>
      <c r="S69" s="5">
        <v>15.44</v>
      </c>
      <c r="T69" s="5">
        <v>14.55</v>
      </c>
      <c r="U69" s="5">
        <v>17.22</v>
      </c>
      <c r="V69" s="5">
        <v>16.07</v>
      </c>
      <c r="W69" s="5">
        <v>15.19</v>
      </c>
      <c r="X69" s="7">
        <f t="shared" si="4"/>
        <v>264.83000000000004</v>
      </c>
      <c r="Y69" s="5">
        <f t="shared" si="5"/>
        <v>15.578235294117649</v>
      </c>
    </row>
    <row r="70" spans="1:25" x14ac:dyDescent="0.2">
      <c r="A70" s="2" t="s">
        <v>133</v>
      </c>
      <c r="B70" s="3" t="s">
        <v>32</v>
      </c>
      <c r="C70" s="3" t="s">
        <v>59</v>
      </c>
      <c r="D70" s="2" t="s">
        <v>128</v>
      </c>
      <c r="E70" s="4">
        <v>8</v>
      </c>
      <c r="F70" s="5">
        <v>12.95</v>
      </c>
      <c r="G70" s="5">
        <v>12.78</v>
      </c>
      <c r="H70" s="5">
        <v>12.01</v>
      </c>
      <c r="I70" s="5">
        <v>12.09</v>
      </c>
      <c r="J70" s="5">
        <v>12.53</v>
      </c>
      <c r="K70" s="5">
        <v>12.22</v>
      </c>
      <c r="L70" s="5">
        <v>12.66</v>
      </c>
      <c r="M70" s="6">
        <v>0</v>
      </c>
      <c r="N70" s="5">
        <v>11.28</v>
      </c>
      <c r="O70" s="5">
        <v>11.37</v>
      </c>
      <c r="P70" s="5">
        <v>12.65</v>
      </c>
      <c r="Q70" s="5">
        <v>11.27</v>
      </c>
      <c r="R70" s="5">
        <v>10.6</v>
      </c>
      <c r="S70" s="5">
        <v>12.87</v>
      </c>
      <c r="T70" s="5">
        <v>12.54</v>
      </c>
      <c r="U70" s="5">
        <v>10.43</v>
      </c>
      <c r="V70" s="5">
        <v>11.31</v>
      </c>
      <c r="W70" s="5">
        <v>13.19</v>
      </c>
      <c r="X70" s="7">
        <f t="shared" si="4"/>
        <v>204.75</v>
      </c>
      <c r="Y70" s="5">
        <f t="shared" si="5"/>
        <v>12.044117647058824</v>
      </c>
    </row>
    <row r="71" spans="1:25" x14ac:dyDescent="0.2">
      <c r="A71" s="2" t="s">
        <v>134</v>
      </c>
      <c r="B71" s="3" t="s">
        <v>32</v>
      </c>
      <c r="C71" s="3" t="s">
        <v>135</v>
      </c>
      <c r="D71" s="2" t="s">
        <v>128</v>
      </c>
      <c r="E71" s="4">
        <v>10</v>
      </c>
      <c r="F71" s="5">
        <v>11.05</v>
      </c>
      <c r="G71" s="5">
        <v>10.59</v>
      </c>
      <c r="H71" s="5">
        <v>10.98</v>
      </c>
      <c r="I71" s="5">
        <v>10.75</v>
      </c>
      <c r="J71" s="5">
        <v>10.63</v>
      </c>
      <c r="K71" s="5">
        <v>10.16</v>
      </c>
      <c r="L71" s="5">
        <v>10.88</v>
      </c>
      <c r="M71" s="5">
        <v>11.6</v>
      </c>
      <c r="N71" s="5">
        <v>10.65</v>
      </c>
      <c r="O71" s="6">
        <v>0</v>
      </c>
      <c r="P71" s="5">
        <v>10.23</v>
      </c>
      <c r="Q71" s="5">
        <v>11.2</v>
      </c>
      <c r="R71" s="5">
        <v>10.75</v>
      </c>
      <c r="S71" s="5">
        <v>10.02</v>
      </c>
      <c r="T71" s="5">
        <v>10.99</v>
      </c>
      <c r="U71" s="5">
        <v>11.27</v>
      </c>
      <c r="V71" s="5">
        <v>9.9</v>
      </c>
      <c r="W71" s="5">
        <v>10.67</v>
      </c>
      <c r="X71" s="7">
        <f t="shared" si="4"/>
        <v>182.32000000000005</v>
      </c>
      <c r="Y71" s="5">
        <f t="shared" si="5"/>
        <v>10.724705882352945</v>
      </c>
    </row>
    <row r="72" spans="1:25" x14ac:dyDescent="0.2">
      <c r="A72" s="2" t="s">
        <v>136</v>
      </c>
      <c r="B72" s="3" t="s">
        <v>41</v>
      </c>
      <c r="C72" s="3" t="s">
        <v>131</v>
      </c>
      <c r="D72" s="2" t="s">
        <v>128</v>
      </c>
      <c r="E72" s="4">
        <v>11</v>
      </c>
      <c r="F72" s="5">
        <v>16.39</v>
      </c>
      <c r="G72" s="5">
        <v>17.82</v>
      </c>
      <c r="H72" s="5">
        <v>17.46</v>
      </c>
      <c r="I72" s="5">
        <v>17.43</v>
      </c>
      <c r="J72" s="5">
        <v>17.21</v>
      </c>
      <c r="K72" s="5">
        <v>17.940000000000001</v>
      </c>
      <c r="L72" s="5">
        <v>18.02</v>
      </c>
      <c r="M72" s="5">
        <v>17.32</v>
      </c>
      <c r="N72" s="5">
        <v>18.52</v>
      </c>
      <c r="O72" s="5">
        <v>16.61</v>
      </c>
      <c r="P72" s="6">
        <v>0</v>
      </c>
      <c r="Q72" s="5">
        <v>16.66</v>
      </c>
      <c r="R72" s="5">
        <v>16.72</v>
      </c>
      <c r="S72" s="5">
        <v>15.86</v>
      </c>
      <c r="T72" s="5">
        <v>17.78</v>
      </c>
      <c r="U72" s="5">
        <v>16.71</v>
      </c>
      <c r="V72" s="5">
        <v>16.82</v>
      </c>
      <c r="W72" s="5">
        <v>16.84</v>
      </c>
      <c r="X72" s="7">
        <f t="shared" si="4"/>
        <v>292.11</v>
      </c>
      <c r="Y72" s="5">
        <f t="shared" si="5"/>
        <v>17.182941176470589</v>
      </c>
    </row>
    <row r="73" spans="1:25" x14ac:dyDescent="0.2">
      <c r="A73" s="2" t="s">
        <v>137</v>
      </c>
      <c r="B73" s="3" t="s">
        <v>41</v>
      </c>
      <c r="C73" s="3" t="s">
        <v>135</v>
      </c>
      <c r="D73" s="2" t="s">
        <v>128</v>
      </c>
      <c r="E73" s="4">
        <v>10</v>
      </c>
      <c r="F73" s="5">
        <v>15.18</v>
      </c>
      <c r="G73" s="5">
        <v>13.94</v>
      </c>
      <c r="H73" s="5">
        <v>14.6</v>
      </c>
      <c r="I73" s="5">
        <v>14.59</v>
      </c>
      <c r="J73" s="5">
        <v>14.78</v>
      </c>
      <c r="K73" s="5">
        <v>13.7</v>
      </c>
      <c r="L73" s="5">
        <v>14.56</v>
      </c>
      <c r="M73" s="5">
        <v>15.2</v>
      </c>
      <c r="N73" s="5">
        <v>14.62</v>
      </c>
      <c r="O73" s="6">
        <v>0</v>
      </c>
      <c r="P73" s="5">
        <v>14.25</v>
      </c>
      <c r="Q73" s="5">
        <v>14.75</v>
      </c>
      <c r="R73" s="5">
        <v>14.63</v>
      </c>
      <c r="S73" s="5">
        <v>13.97</v>
      </c>
      <c r="T73" s="5">
        <v>14.58</v>
      </c>
      <c r="U73" s="5">
        <v>15</v>
      </c>
      <c r="V73" s="5">
        <v>13.93</v>
      </c>
      <c r="W73" s="5">
        <v>14.38</v>
      </c>
      <c r="X73" s="7">
        <f t="shared" si="4"/>
        <v>246.66000000000003</v>
      </c>
      <c r="Y73" s="5">
        <f t="shared" si="5"/>
        <v>14.509411764705884</v>
      </c>
    </row>
    <row r="74" spans="1:25" x14ac:dyDescent="0.2">
      <c r="A74" s="2" t="s">
        <v>138</v>
      </c>
      <c r="B74" s="3" t="s">
        <v>41</v>
      </c>
      <c r="C74" s="3" t="s">
        <v>102</v>
      </c>
      <c r="D74" s="2" t="s">
        <v>128</v>
      </c>
      <c r="E74" s="4">
        <v>10</v>
      </c>
      <c r="F74" s="5">
        <v>12.78</v>
      </c>
      <c r="G74" s="5">
        <v>12.79</v>
      </c>
      <c r="H74" s="5">
        <v>12.24</v>
      </c>
      <c r="I74" s="5">
        <v>12.77</v>
      </c>
      <c r="J74" s="5">
        <v>12.62</v>
      </c>
      <c r="K74" s="5">
        <v>13.18</v>
      </c>
      <c r="L74" s="5">
        <v>12.58</v>
      </c>
      <c r="M74" s="5">
        <v>11.86</v>
      </c>
      <c r="N74" s="5">
        <v>12.68</v>
      </c>
      <c r="O74" s="6">
        <v>0</v>
      </c>
      <c r="P74" s="5">
        <v>12.77</v>
      </c>
      <c r="Q74" s="5">
        <v>12.52</v>
      </c>
      <c r="R74" s="5">
        <v>13.17</v>
      </c>
      <c r="S74" s="5">
        <v>13.34</v>
      </c>
      <c r="T74" s="5">
        <v>13.61</v>
      </c>
      <c r="U74" s="5">
        <v>12.75</v>
      </c>
      <c r="V74" s="5">
        <v>12.69</v>
      </c>
      <c r="W74" s="5">
        <v>12.64</v>
      </c>
      <c r="X74" s="7">
        <f t="shared" si="4"/>
        <v>216.98999999999995</v>
      </c>
      <c r="Y74" s="5">
        <f t="shared" si="5"/>
        <v>12.764117647058821</v>
      </c>
    </row>
    <row r="75" spans="1:25" x14ac:dyDescent="0.2">
      <c r="A75" s="2" t="s">
        <v>139</v>
      </c>
      <c r="B75" s="3" t="s">
        <v>41</v>
      </c>
      <c r="C75" s="3" t="s">
        <v>82</v>
      </c>
      <c r="D75" s="2" t="s">
        <v>128</v>
      </c>
      <c r="E75" s="4">
        <v>9</v>
      </c>
      <c r="F75" s="5">
        <v>12.89</v>
      </c>
      <c r="G75" s="5">
        <v>11.98</v>
      </c>
      <c r="H75" s="5">
        <v>13.04</v>
      </c>
      <c r="I75" s="5">
        <v>11.64</v>
      </c>
      <c r="J75" s="5">
        <v>12.66</v>
      </c>
      <c r="K75" s="5">
        <v>12.09</v>
      </c>
      <c r="L75" s="5">
        <v>12.27</v>
      </c>
      <c r="M75" s="5">
        <v>11.81</v>
      </c>
      <c r="N75" s="6">
        <v>0</v>
      </c>
      <c r="O75" s="5">
        <v>12.86</v>
      </c>
      <c r="P75" s="5">
        <v>11.63</v>
      </c>
      <c r="Q75" s="5">
        <v>11.57</v>
      </c>
      <c r="R75" s="5">
        <v>11.45</v>
      </c>
      <c r="S75" s="5">
        <v>12.56</v>
      </c>
      <c r="T75" s="5">
        <v>12.03</v>
      </c>
      <c r="U75" s="5">
        <v>12.5</v>
      </c>
      <c r="V75" s="5">
        <v>12.44</v>
      </c>
      <c r="W75" s="5">
        <v>11.83</v>
      </c>
      <c r="X75" s="7">
        <f t="shared" si="4"/>
        <v>207.25</v>
      </c>
      <c r="Y75" s="5">
        <f t="shared" si="5"/>
        <v>12.191176470588236</v>
      </c>
    </row>
    <row r="76" spans="1:25" x14ac:dyDescent="0.2">
      <c r="A76" s="2" t="s">
        <v>140</v>
      </c>
      <c r="B76" s="3" t="s">
        <v>48</v>
      </c>
      <c r="C76" s="3" t="s">
        <v>112</v>
      </c>
      <c r="D76" s="2" t="s">
        <v>128</v>
      </c>
      <c r="E76" s="4">
        <v>5</v>
      </c>
      <c r="F76" s="5">
        <v>10.19</v>
      </c>
      <c r="G76" s="5">
        <v>11.04</v>
      </c>
      <c r="H76" s="5">
        <v>11.24</v>
      </c>
      <c r="I76" s="5">
        <v>11.08</v>
      </c>
      <c r="J76" s="6">
        <v>0</v>
      </c>
      <c r="K76" s="5">
        <v>10.85</v>
      </c>
      <c r="L76" s="5">
        <v>10.14</v>
      </c>
      <c r="M76" s="5">
        <v>10.09</v>
      </c>
      <c r="N76" s="5">
        <v>10.79</v>
      </c>
      <c r="O76" s="5">
        <v>11.12</v>
      </c>
      <c r="P76" s="5">
        <v>11.29</v>
      </c>
      <c r="Q76" s="5">
        <v>11.51</v>
      </c>
      <c r="R76" s="5">
        <v>10.29</v>
      </c>
      <c r="S76" s="5">
        <v>11.29</v>
      </c>
      <c r="T76" s="5">
        <v>10.66</v>
      </c>
      <c r="U76" s="5">
        <v>11.03</v>
      </c>
      <c r="V76" s="5">
        <v>10.76</v>
      </c>
      <c r="W76" s="5">
        <v>11.15</v>
      </c>
      <c r="X76" s="7">
        <f t="shared" si="4"/>
        <v>184.51999999999998</v>
      </c>
      <c r="Y76" s="5">
        <f t="shared" si="5"/>
        <v>10.854117647058823</v>
      </c>
    </row>
    <row r="77" spans="1:25" x14ac:dyDescent="0.2">
      <c r="A77" s="2" t="s">
        <v>141</v>
      </c>
      <c r="B77" s="3" t="s">
        <v>48</v>
      </c>
      <c r="C77" s="3" t="s">
        <v>68</v>
      </c>
      <c r="D77" s="2" t="s">
        <v>128</v>
      </c>
      <c r="E77" s="4">
        <v>13</v>
      </c>
      <c r="F77" s="5">
        <v>6.29</v>
      </c>
      <c r="G77" s="5">
        <v>6.26</v>
      </c>
      <c r="H77" s="5">
        <v>9.07</v>
      </c>
      <c r="I77" s="5">
        <v>9.2799999999999994</v>
      </c>
      <c r="J77" s="5">
        <v>8.83</v>
      </c>
      <c r="K77" s="5">
        <v>8.99</v>
      </c>
      <c r="L77" s="5">
        <v>9.6300000000000008</v>
      </c>
      <c r="M77" s="5">
        <v>9.51</v>
      </c>
      <c r="N77" s="5">
        <v>9.01</v>
      </c>
      <c r="O77" s="5">
        <v>9.8699999999999992</v>
      </c>
      <c r="P77" s="5">
        <v>9.16</v>
      </c>
      <c r="Q77" s="5">
        <v>9.57</v>
      </c>
      <c r="R77" s="6">
        <v>0</v>
      </c>
      <c r="S77" s="5">
        <v>8.69</v>
      </c>
      <c r="T77" s="5">
        <v>9.56</v>
      </c>
      <c r="U77" s="5">
        <v>9.09</v>
      </c>
      <c r="V77" s="5">
        <v>9.2200000000000006</v>
      </c>
      <c r="W77" s="5">
        <v>9.7799999999999994</v>
      </c>
      <c r="X77" s="7">
        <f t="shared" si="4"/>
        <v>151.81</v>
      </c>
      <c r="Y77" s="5">
        <f t="shared" si="5"/>
        <v>8.93</v>
      </c>
    </row>
    <row r="78" spans="1:25" x14ac:dyDescent="0.2">
      <c r="A78" s="2" t="s">
        <v>142</v>
      </c>
      <c r="B78" s="3" t="s">
        <v>53</v>
      </c>
      <c r="C78" s="3" t="s">
        <v>120</v>
      </c>
      <c r="D78" s="2" t="s">
        <v>128</v>
      </c>
      <c r="E78" s="4">
        <v>11</v>
      </c>
      <c r="F78" s="5">
        <v>7.07</v>
      </c>
      <c r="G78" s="5">
        <v>7.53</v>
      </c>
      <c r="H78" s="5">
        <v>9.31</v>
      </c>
      <c r="I78" s="5">
        <v>8.7200000000000006</v>
      </c>
      <c r="J78" s="5">
        <v>9.5500000000000007</v>
      </c>
      <c r="K78" s="5">
        <v>6.13</v>
      </c>
      <c r="L78" s="5">
        <v>8.26</v>
      </c>
      <c r="M78" s="5">
        <v>7.63</v>
      </c>
      <c r="N78" s="5">
        <v>8.31</v>
      </c>
      <c r="O78" s="5">
        <v>8.34</v>
      </c>
      <c r="P78" s="6">
        <v>0</v>
      </c>
      <c r="Q78" s="5">
        <v>10.07</v>
      </c>
      <c r="R78" s="5">
        <v>7.3</v>
      </c>
      <c r="S78" s="5">
        <v>7.16</v>
      </c>
      <c r="T78" s="5">
        <v>7.83</v>
      </c>
      <c r="U78" s="5">
        <v>5.47</v>
      </c>
      <c r="V78" s="5">
        <v>9.39</v>
      </c>
      <c r="W78" s="5">
        <v>7.14</v>
      </c>
      <c r="X78" s="7">
        <f t="shared" si="4"/>
        <v>135.20999999999998</v>
      </c>
      <c r="Y78" s="5">
        <f t="shared" si="5"/>
        <v>7.9535294117647046</v>
      </c>
    </row>
    <row r="79" spans="1:25" x14ac:dyDescent="0.2">
      <c r="A79" s="2" t="s">
        <v>143</v>
      </c>
      <c r="B79" s="3" t="s">
        <v>53</v>
      </c>
      <c r="C79" s="3" t="s">
        <v>112</v>
      </c>
      <c r="D79" s="2" t="s">
        <v>128</v>
      </c>
      <c r="E79" s="4">
        <v>5</v>
      </c>
      <c r="F79" s="5">
        <v>6.95</v>
      </c>
      <c r="G79" s="5">
        <v>8.77</v>
      </c>
      <c r="H79" s="5">
        <v>8.81</v>
      </c>
      <c r="I79" s="5">
        <v>9.7799999999999994</v>
      </c>
      <c r="J79" s="6">
        <v>0</v>
      </c>
      <c r="K79" s="5">
        <v>8.01</v>
      </c>
      <c r="L79" s="5">
        <v>6.95</v>
      </c>
      <c r="M79" s="5">
        <v>5.94</v>
      </c>
      <c r="N79" s="5">
        <v>10.37</v>
      </c>
      <c r="O79" s="5">
        <v>6.95</v>
      </c>
      <c r="P79" s="5">
        <v>8.82</v>
      </c>
      <c r="Q79" s="5">
        <v>5.37</v>
      </c>
      <c r="R79" s="5">
        <v>4.62</v>
      </c>
      <c r="S79" s="5">
        <v>7.18</v>
      </c>
      <c r="T79" s="5">
        <v>8.5</v>
      </c>
      <c r="U79" s="5">
        <v>6.88</v>
      </c>
      <c r="V79" s="5">
        <v>7.84</v>
      </c>
      <c r="W79" s="5">
        <v>10.07</v>
      </c>
      <c r="X79" s="7">
        <f t="shared" si="4"/>
        <v>131.81</v>
      </c>
      <c r="Y79" s="5">
        <f t="shared" si="5"/>
        <v>7.7535294117647062</v>
      </c>
    </row>
    <row r="80" spans="1:25" x14ac:dyDescent="0.2">
      <c r="A80" s="2" t="s">
        <v>144</v>
      </c>
      <c r="B80" s="3" t="s">
        <v>58</v>
      </c>
      <c r="C80" s="3" t="s">
        <v>76</v>
      </c>
      <c r="D80" s="2" t="s">
        <v>128</v>
      </c>
      <c r="E80" s="4">
        <v>6</v>
      </c>
      <c r="F80" s="5">
        <v>8.7200000000000006</v>
      </c>
      <c r="G80" s="5">
        <v>8.57</v>
      </c>
      <c r="H80" s="5">
        <v>8.7200000000000006</v>
      </c>
      <c r="I80" s="5">
        <v>8.3699999999999992</v>
      </c>
      <c r="J80" s="5">
        <v>8.67</v>
      </c>
      <c r="K80" s="6">
        <v>0</v>
      </c>
      <c r="L80" s="5">
        <v>8.6199999999999992</v>
      </c>
      <c r="M80" s="5">
        <v>8.7200000000000006</v>
      </c>
      <c r="N80" s="5">
        <v>8.77</v>
      </c>
      <c r="O80" s="5">
        <v>8.3000000000000007</v>
      </c>
      <c r="P80" s="5">
        <v>8.6199999999999992</v>
      </c>
      <c r="Q80" s="5">
        <v>8.7200000000000006</v>
      </c>
      <c r="R80" s="5">
        <v>8.57</v>
      </c>
      <c r="S80" s="5">
        <v>8.92</v>
      </c>
      <c r="T80" s="5">
        <v>8.27</v>
      </c>
      <c r="U80" s="5">
        <v>8.82</v>
      </c>
      <c r="V80" s="5">
        <v>8.2799999999999994</v>
      </c>
      <c r="W80" s="5">
        <v>8.18</v>
      </c>
      <c r="X80" s="7">
        <f t="shared" si="4"/>
        <v>145.84</v>
      </c>
      <c r="Y80" s="5">
        <f t="shared" si="5"/>
        <v>8.5788235294117641</v>
      </c>
    </row>
    <row r="81" spans="1:25" x14ac:dyDescent="0.2">
      <c r="A81" s="2" t="s">
        <v>145</v>
      </c>
      <c r="B81" s="3" t="s">
        <v>58</v>
      </c>
      <c r="C81" s="3" t="s">
        <v>131</v>
      </c>
      <c r="D81" s="2" t="s">
        <v>128</v>
      </c>
      <c r="E81" s="4">
        <v>11</v>
      </c>
      <c r="F81" s="5">
        <v>7.76</v>
      </c>
      <c r="G81" s="5">
        <v>8.67</v>
      </c>
      <c r="H81" s="5">
        <v>8.0399999999999991</v>
      </c>
      <c r="I81" s="5">
        <v>8.1300000000000008</v>
      </c>
      <c r="J81" s="5">
        <v>8.3000000000000007</v>
      </c>
      <c r="K81" s="5">
        <v>8.58</v>
      </c>
      <c r="L81" s="5">
        <v>8.58</v>
      </c>
      <c r="M81" s="5">
        <v>8.0399999999999991</v>
      </c>
      <c r="N81" s="5">
        <v>8.5399999999999991</v>
      </c>
      <c r="O81" s="5">
        <v>8.39</v>
      </c>
      <c r="P81" s="6">
        <v>0</v>
      </c>
      <c r="Q81" s="5">
        <v>8.1300000000000008</v>
      </c>
      <c r="R81" s="5">
        <v>8.39</v>
      </c>
      <c r="S81" s="5">
        <v>7.94</v>
      </c>
      <c r="T81" s="5">
        <v>8.5</v>
      </c>
      <c r="U81" s="5">
        <v>8.48</v>
      </c>
      <c r="V81" s="5">
        <v>8.58</v>
      </c>
      <c r="W81" s="5">
        <v>8.2200000000000006</v>
      </c>
      <c r="X81" s="7">
        <f t="shared" si="4"/>
        <v>141.26999999999998</v>
      </c>
      <c r="Y81" s="5">
        <f t="shared" si="5"/>
        <v>8.3099999999999987</v>
      </c>
    </row>
    <row r="82" spans="1:25" x14ac:dyDescent="0.2">
      <c r="A82" s="2" t="s">
        <v>146</v>
      </c>
      <c r="B82" s="3" t="s">
        <v>26</v>
      </c>
      <c r="C82" s="3" t="s">
        <v>56</v>
      </c>
      <c r="D82" s="2" t="s">
        <v>147</v>
      </c>
      <c r="E82" s="4">
        <v>7</v>
      </c>
      <c r="F82" s="5">
        <v>19.78</v>
      </c>
      <c r="G82" s="5">
        <v>17.260000000000002</v>
      </c>
      <c r="H82" s="5">
        <v>19.75</v>
      </c>
      <c r="I82" s="5">
        <v>21.62</v>
      </c>
      <c r="J82" s="5">
        <v>18.329999999999998</v>
      </c>
      <c r="K82" s="5">
        <v>17.78</v>
      </c>
      <c r="L82" s="6">
        <v>0</v>
      </c>
      <c r="M82" s="5">
        <v>21.18</v>
      </c>
      <c r="N82" s="5">
        <v>18.27</v>
      </c>
      <c r="O82" s="5">
        <v>20.5</v>
      </c>
      <c r="P82" s="5">
        <v>20.14</v>
      </c>
      <c r="Q82" s="5">
        <v>21.56</v>
      </c>
      <c r="R82" s="5">
        <v>19.579999999999998</v>
      </c>
      <c r="S82" s="5">
        <v>18.84</v>
      </c>
      <c r="T82" s="5">
        <v>17.239999999999998</v>
      </c>
      <c r="U82" s="5">
        <v>19.739999999999998</v>
      </c>
      <c r="V82" s="5">
        <v>23.63</v>
      </c>
      <c r="W82" s="5">
        <v>20.11</v>
      </c>
      <c r="X82" s="7">
        <f t="shared" si="4"/>
        <v>335.31</v>
      </c>
      <c r="Y82" s="5">
        <f t="shared" si="5"/>
        <v>19.724117647058822</v>
      </c>
    </row>
    <row r="83" spans="1:25" x14ac:dyDescent="0.2">
      <c r="A83" s="2" t="s">
        <v>148</v>
      </c>
      <c r="B83" s="3" t="s">
        <v>26</v>
      </c>
      <c r="C83" s="3" t="s">
        <v>102</v>
      </c>
      <c r="D83" s="2" t="s">
        <v>147</v>
      </c>
      <c r="E83" s="4">
        <v>10</v>
      </c>
      <c r="F83" s="5">
        <v>19.55</v>
      </c>
      <c r="G83" s="5">
        <v>20.11</v>
      </c>
      <c r="H83" s="5">
        <v>18.37</v>
      </c>
      <c r="I83" s="5">
        <v>20.07</v>
      </c>
      <c r="J83" s="5">
        <v>18.690000000000001</v>
      </c>
      <c r="K83" s="5">
        <v>20.28</v>
      </c>
      <c r="L83" s="5">
        <v>19.14</v>
      </c>
      <c r="M83" s="5">
        <v>15.89</v>
      </c>
      <c r="N83" s="5">
        <v>19.55</v>
      </c>
      <c r="O83" s="6">
        <v>0</v>
      </c>
      <c r="P83" s="5">
        <v>20</v>
      </c>
      <c r="Q83" s="5">
        <v>18.190000000000001</v>
      </c>
      <c r="R83" s="5">
        <v>20.3</v>
      </c>
      <c r="S83" s="5">
        <v>21.13</v>
      </c>
      <c r="T83" s="5">
        <v>20.420000000000002</v>
      </c>
      <c r="U83" s="5">
        <v>19.64</v>
      </c>
      <c r="V83" s="5">
        <v>19.14</v>
      </c>
      <c r="W83" s="5">
        <v>19.170000000000002</v>
      </c>
      <c r="X83" s="7">
        <f t="shared" si="4"/>
        <v>329.64</v>
      </c>
      <c r="Y83" s="5">
        <f t="shared" si="5"/>
        <v>19.390588235294118</v>
      </c>
    </row>
    <row r="84" spans="1:25" x14ac:dyDescent="0.2">
      <c r="A84" s="2" t="s">
        <v>149</v>
      </c>
      <c r="B84" s="3" t="s">
        <v>32</v>
      </c>
      <c r="C84" s="3" t="s">
        <v>150</v>
      </c>
      <c r="D84" s="2" t="s">
        <v>147</v>
      </c>
      <c r="E84" s="4">
        <v>6</v>
      </c>
      <c r="F84" s="5">
        <v>16.97</v>
      </c>
      <c r="G84" s="5">
        <v>15.18</v>
      </c>
      <c r="H84" s="5">
        <v>15.53</v>
      </c>
      <c r="I84" s="5">
        <v>17.579999999999998</v>
      </c>
      <c r="J84" s="5">
        <v>18.77</v>
      </c>
      <c r="K84" s="6">
        <v>0</v>
      </c>
      <c r="L84" s="5">
        <v>15.64</v>
      </c>
      <c r="M84" s="5">
        <v>18.239999999999998</v>
      </c>
      <c r="N84" s="5">
        <v>18.170000000000002</v>
      </c>
      <c r="O84" s="5">
        <v>16.100000000000001</v>
      </c>
      <c r="P84" s="5">
        <v>18.02</v>
      </c>
      <c r="Q84" s="5">
        <v>17.47</v>
      </c>
      <c r="R84" s="5">
        <v>16.36</v>
      </c>
      <c r="S84" s="5">
        <v>16.59</v>
      </c>
      <c r="T84" s="5">
        <v>17.239999999999998</v>
      </c>
      <c r="U84" s="5">
        <v>17.100000000000001</v>
      </c>
      <c r="V84" s="5">
        <v>16.2</v>
      </c>
      <c r="W84" s="5">
        <v>16.95</v>
      </c>
      <c r="X84" s="7">
        <f t="shared" si="4"/>
        <v>288.10999999999996</v>
      </c>
      <c r="Y84" s="5">
        <f t="shared" si="5"/>
        <v>16.947647058823527</v>
      </c>
    </row>
    <row r="85" spans="1:25" x14ac:dyDescent="0.2">
      <c r="A85" s="2" t="s">
        <v>151</v>
      </c>
      <c r="B85" s="3" t="s">
        <v>32</v>
      </c>
      <c r="C85" s="3" t="s">
        <v>100</v>
      </c>
      <c r="D85" s="2" t="s">
        <v>147</v>
      </c>
      <c r="E85" s="4">
        <v>11</v>
      </c>
      <c r="F85" s="5">
        <v>14.64</v>
      </c>
      <c r="G85" s="5">
        <v>16.48</v>
      </c>
      <c r="H85" s="5">
        <v>16.149999999999999</v>
      </c>
      <c r="I85" s="5">
        <v>14.96</v>
      </c>
      <c r="J85" s="5">
        <v>15.31</v>
      </c>
      <c r="K85" s="5">
        <v>12.84</v>
      </c>
      <c r="L85" s="5">
        <v>10.39</v>
      </c>
      <c r="M85" s="5">
        <v>10.87</v>
      </c>
      <c r="N85" s="5">
        <v>12.04</v>
      </c>
      <c r="O85" s="5">
        <v>11.33</v>
      </c>
      <c r="P85" s="6">
        <v>0</v>
      </c>
      <c r="Q85" s="5">
        <v>10.4</v>
      </c>
      <c r="R85" s="5">
        <v>10.76</v>
      </c>
      <c r="S85" s="5">
        <v>11.18</v>
      </c>
      <c r="T85" s="5">
        <v>9.52</v>
      </c>
      <c r="U85" s="5">
        <v>9.5500000000000007</v>
      </c>
      <c r="V85" s="5">
        <v>10.83</v>
      </c>
      <c r="W85" s="5">
        <v>9.14</v>
      </c>
      <c r="X85" s="7">
        <f t="shared" si="4"/>
        <v>206.39000000000004</v>
      </c>
      <c r="Y85" s="5">
        <f t="shared" si="5"/>
        <v>12.140588235294119</v>
      </c>
    </row>
    <row r="86" spans="1:25" x14ac:dyDescent="0.2">
      <c r="A86" s="2" t="s">
        <v>152</v>
      </c>
      <c r="B86" s="3" t="s">
        <v>32</v>
      </c>
      <c r="C86" s="3" t="s">
        <v>54</v>
      </c>
      <c r="D86" s="2" t="s">
        <v>147</v>
      </c>
      <c r="E86" s="4">
        <v>10</v>
      </c>
      <c r="F86" s="5">
        <v>10.17</v>
      </c>
      <c r="G86" s="5">
        <v>11.52</v>
      </c>
      <c r="H86" s="5">
        <v>9.69</v>
      </c>
      <c r="I86" s="5">
        <v>10.63</v>
      </c>
      <c r="J86" s="5">
        <v>10.39</v>
      </c>
      <c r="K86" s="5">
        <v>9.92</v>
      </c>
      <c r="L86" s="5">
        <v>12.13</v>
      </c>
      <c r="M86" s="5">
        <v>10.73</v>
      </c>
      <c r="N86" s="5">
        <v>11.26</v>
      </c>
      <c r="O86" s="6">
        <v>0</v>
      </c>
      <c r="P86" s="5">
        <v>12.46</v>
      </c>
      <c r="Q86" s="5">
        <v>9.9</v>
      </c>
      <c r="R86" s="5">
        <v>13.23</v>
      </c>
      <c r="S86" s="5">
        <v>10.96</v>
      </c>
      <c r="T86" s="5">
        <v>11.84</v>
      </c>
      <c r="U86" s="5">
        <v>11.79</v>
      </c>
      <c r="V86" s="5">
        <v>10.19</v>
      </c>
      <c r="W86" s="5">
        <v>10.96</v>
      </c>
      <c r="X86" s="7">
        <f t="shared" si="4"/>
        <v>187.77</v>
      </c>
      <c r="Y86" s="5">
        <f t="shared" si="5"/>
        <v>11.04529411764706</v>
      </c>
    </row>
    <row r="87" spans="1:25" x14ac:dyDescent="0.2">
      <c r="A87" s="2" t="s">
        <v>153</v>
      </c>
      <c r="B87" s="3" t="s">
        <v>32</v>
      </c>
      <c r="C87" s="3" t="s">
        <v>97</v>
      </c>
      <c r="D87" s="2" t="s">
        <v>147</v>
      </c>
      <c r="E87" s="4">
        <v>13</v>
      </c>
      <c r="F87" s="5">
        <v>5.09</v>
      </c>
      <c r="G87" s="5">
        <v>4.01</v>
      </c>
      <c r="H87" s="5">
        <v>4.2</v>
      </c>
      <c r="I87" s="5">
        <v>3.87</v>
      </c>
      <c r="J87" s="5">
        <v>3.66</v>
      </c>
      <c r="K87" s="5">
        <v>4.3099999999999996</v>
      </c>
      <c r="L87" s="5">
        <v>3.49</v>
      </c>
      <c r="M87" s="5">
        <v>3.94</v>
      </c>
      <c r="N87" s="5">
        <v>3.85</v>
      </c>
      <c r="O87" s="5">
        <v>3.55</v>
      </c>
      <c r="P87" s="5">
        <v>3.36</v>
      </c>
      <c r="Q87" s="5">
        <v>3.79</v>
      </c>
      <c r="R87" s="6">
        <v>0</v>
      </c>
      <c r="S87" s="5">
        <v>3.96</v>
      </c>
      <c r="T87" s="5">
        <v>3.57</v>
      </c>
      <c r="U87" s="5">
        <v>4.4000000000000004</v>
      </c>
      <c r="V87" s="5">
        <v>4.38</v>
      </c>
      <c r="W87" s="5">
        <v>3.66</v>
      </c>
      <c r="X87" s="7">
        <f t="shared" si="4"/>
        <v>67.09</v>
      </c>
      <c r="Y87" s="5">
        <f t="shared" si="5"/>
        <v>3.9464705882352944</v>
      </c>
    </row>
    <row r="88" spans="1:25" x14ac:dyDescent="0.2">
      <c r="A88" s="2" t="s">
        <v>154</v>
      </c>
      <c r="B88" s="3" t="s">
        <v>41</v>
      </c>
      <c r="C88" s="3" t="s">
        <v>76</v>
      </c>
      <c r="D88" s="2" t="s">
        <v>147</v>
      </c>
      <c r="E88" s="4">
        <v>6</v>
      </c>
      <c r="F88" s="5">
        <v>20.5</v>
      </c>
      <c r="G88" s="5">
        <v>21.9</v>
      </c>
      <c r="H88" s="5">
        <v>20.5</v>
      </c>
      <c r="I88" s="5">
        <v>20.59</v>
      </c>
      <c r="J88" s="5">
        <v>21.27</v>
      </c>
      <c r="K88" s="6">
        <v>0</v>
      </c>
      <c r="L88" s="5">
        <v>20.57</v>
      </c>
      <c r="M88" s="5">
        <v>20.55</v>
      </c>
      <c r="N88" s="5">
        <v>21.24</v>
      </c>
      <c r="O88" s="5">
        <v>20.27</v>
      </c>
      <c r="P88" s="5">
        <v>20.440000000000001</v>
      </c>
      <c r="Q88" s="5">
        <v>20.9</v>
      </c>
      <c r="R88" s="5">
        <v>21.1</v>
      </c>
      <c r="S88" s="5">
        <v>20.76</v>
      </c>
      <c r="T88" s="5">
        <v>20.43</v>
      </c>
      <c r="U88" s="5">
        <v>20.9</v>
      </c>
      <c r="V88" s="5">
        <v>20.77</v>
      </c>
      <c r="W88" s="5">
        <v>20.43</v>
      </c>
      <c r="X88" s="7">
        <f t="shared" si="4"/>
        <v>353.12</v>
      </c>
      <c r="Y88" s="5">
        <f t="shared" si="5"/>
        <v>20.771764705882354</v>
      </c>
    </row>
    <row r="89" spans="1:25" x14ac:dyDescent="0.2">
      <c r="A89" s="2" t="s">
        <v>155</v>
      </c>
      <c r="B89" s="3" t="s">
        <v>41</v>
      </c>
      <c r="C89" s="3" t="s">
        <v>78</v>
      </c>
      <c r="D89" s="2" t="s">
        <v>147</v>
      </c>
      <c r="E89" s="4">
        <v>8</v>
      </c>
      <c r="F89" s="5">
        <v>16.03</v>
      </c>
      <c r="G89" s="5">
        <v>14.71</v>
      </c>
      <c r="H89" s="5">
        <v>15.83</v>
      </c>
      <c r="I89" s="5">
        <v>16.34</v>
      </c>
      <c r="J89" s="5">
        <v>16.399999999999999</v>
      </c>
      <c r="K89" s="5">
        <v>15.56</v>
      </c>
      <c r="L89" s="5">
        <v>14.28</v>
      </c>
      <c r="M89" s="6">
        <v>0</v>
      </c>
      <c r="N89" s="5">
        <v>14.75</v>
      </c>
      <c r="O89" s="5">
        <v>16.55</v>
      </c>
      <c r="P89" s="5">
        <v>16.04</v>
      </c>
      <c r="Q89" s="5">
        <v>15.77</v>
      </c>
      <c r="R89" s="5">
        <v>15.9</v>
      </c>
      <c r="S89" s="5">
        <v>14.5</v>
      </c>
      <c r="T89" s="5">
        <v>14.88</v>
      </c>
      <c r="U89" s="5">
        <v>15.29</v>
      </c>
      <c r="V89" s="5">
        <v>15.85</v>
      </c>
      <c r="W89" s="5">
        <v>14.95</v>
      </c>
      <c r="X89" s="7">
        <f t="shared" si="4"/>
        <v>263.63</v>
      </c>
      <c r="Y89" s="5">
        <f t="shared" si="5"/>
        <v>15.50764705882353</v>
      </c>
    </row>
    <row r="90" spans="1:25" x14ac:dyDescent="0.2">
      <c r="A90" s="2" t="s">
        <v>156</v>
      </c>
      <c r="B90" s="3" t="s">
        <v>41</v>
      </c>
      <c r="C90" s="3" t="s">
        <v>66</v>
      </c>
      <c r="D90" s="2" t="s">
        <v>147</v>
      </c>
      <c r="E90" s="4">
        <v>10</v>
      </c>
      <c r="F90" s="5">
        <v>15.85</v>
      </c>
      <c r="G90" s="5">
        <v>15.08</v>
      </c>
      <c r="H90" s="5">
        <v>15.2</v>
      </c>
      <c r="I90" s="5">
        <v>14.57</v>
      </c>
      <c r="J90" s="5">
        <v>15.4</v>
      </c>
      <c r="K90" s="5">
        <v>15.1</v>
      </c>
      <c r="L90" s="5">
        <v>15.48</v>
      </c>
      <c r="M90" s="5">
        <v>15.76</v>
      </c>
      <c r="N90" s="5">
        <v>15.26</v>
      </c>
      <c r="O90" s="6">
        <v>0</v>
      </c>
      <c r="P90" s="5">
        <v>14.2</v>
      </c>
      <c r="Q90" s="5">
        <v>15.39</v>
      </c>
      <c r="R90" s="5">
        <v>15.53</v>
      </c>
      <c r="S90" s="5">
        <v>15.32</v>
      </c>
      <c r="T90" s="5">
        <v>14.32</v>
      </c>
      <c r="U90" s="5">
        <v>14.06</v>
      </c>
      <c r="V90" s="5">
        <v>15.25</v>
      </c>
      <c r="W90" s="5">
        <v>15.18</v>
      </c>
      <c r="X90" s="7">
        <f t="shared" si="4"/>
        <v>256.94999999999993</v>
      </c>
      <c r="Y90" s="5">
        <f t="shared" si="5"/>
        <v>15.114705882352936</v>
      </c>
    </row>
    <row r="91" spans="1:25" x14ac:dyDescent="0.2">
      <c r="A91" s="2" t="s">
        <v>157</v>
      </c>
      <c r="B91" s="3" t="s">
        <v>41</v>
      </c>
      <c r="C91" s="3" t="s">
        <v>49</v>
      </c>
      <c r="D91" s="2" t="s">
        <v>147</v>
      </c>
      <c r="E91" s="4">
        <v>14</v>
      </c>
      <c r="F91" s="5">
        <v>10.99</v>
      </c>
      <c r="G91" s="5">
        <v>10.43</v>
      </c>
      <c r="H91" s="5">
        <v>11.2</v>
      </c>
      <c r="I91" s="5">
        <v>11.21</v>
      </c>
      <c r="J91" s="5">
        <v>11.03</v>
      </c>
      <c r="K91" s="5">
        <v>10.4</v>
      </c>
      <c r="L91" s="5">
        <v>10.38</v>
      </c>
      <c r="M91" s="5">
        <v>11.28</v>
      </c>
      <c r="N91" s="5">
        <v>10.26</v>
      </c>
      <c r="O91" s="5">
        <v>10.57</v>
      </c>
      <c r="P91" s="5">
        <v>10.79</v>
      </c>
      <c r="Q91" s="5">
        <v>11.9</v>
      </c>
      <c r="R91" s="5">
        <v>10.62</v>
      </c>
      <c r="S91" s="6">
        <v>0</v>
      </c>
      <c r="T91" s="5">
        <v>11.13</v>
      </c>
      <c r="U91" s="5">
        <v>10.97</v>
      </c>
      <c r="V91" s="5">
        <v>11.23</v>
      </c>
      <c r="W91" s="5">
        <v>10.99</v>
      </c>
      <c r="X91" s="7">
        <f t="shared" si="4"/>
        <v>185.38</v>
      </c>
      <c r="Y91" s="5">
        <f t="shared" si="5"/>
        <v>10.904705882352941</v>
      </c>
    </row>
    <row r="92" spans="1:25" x14ac:dyDescent="0.2">
      <c r="A92" s="2" t="s">
        <v>158</v>
      </c>
      <c r="B92" s="3" t="s">
        <v>48</v>
      </c>
      <c r="C92" s="3" t="s">
        <v>102</v>
      </c>
      <c r="D92" s="2" t="s">
        <v>147</v>
      </c>
      <c r="E92" s="4">
        <v>10</v>
      </c>
      <c r="F92" s="5">
        <v>12.72</v>
      </c>
      <c r="G92" s="5">
        <v>12.69</v>
      </c>
      <c r="H92" s="5">
        <v>12.2</v>
      </c>
      <c r="I92" s="5">
        <v>12.67</v>
      </c>
      <c r="J92" s="5">
        <v>12.59</v>
      </c>
      <c r="K92" s="5">
        <v>13.08</v>
      </c>
      <c r="L92" s="5">
        <v>12.51</v>
      </c>
      <c r="M92" s="5">
        <v>11.89</v>
      </c>
      <c r="N92" s="5">
        <v>12.6</v>
      </c>
      <c r="O92" s="6">
        <v>0</v>
      </c>
      <c r="P92" s="5">
        <v>12.67</v>
      </c>
      <c r="Q92" s="5">
        <v>12.51</v>
      </c>
      <c r="R92" s="5">
        <v>13.06</v>
      </c>
      <c r="S92" s="5">
        <v>13.2</v>
      </c>
      <c r="T92" s="5">
        <v>13.52</v>
      </c>
      <c r="U92" s="5">
        <v>12.67</v>
      </c>
      <c r="V92" s="5">
        <v>12.62</v>
      </c>
      <c r="W92" s="5">
        <v>12.6</v>
      </c>
      <c r="X92" s="7">
        <f t="shared" si="4"/>
        <v>215.79999999999998</v>
      </c>
      <c r="Y92" s="5">
        <f t="shared" si="5"/>
        <v>12.694117647058823</v>
      </c>
    </row>
    <row r="93" spans="1:25" x14ac:dyDescent="0.2">
      <c r="A93" s="2" t="s">
        <v>159</v>
      </c>
      <c r="B93" s="3" t="s">
        <v>48</v>
      </c>
      <c r="C93" s="3" t="s">
        <v>56</v>
      </c>
      <c r="D93" s="2" t="s">
        <v>147</v>
      </c>
      <c r="E93" s="4">
        <v>7</v>
      </c>
      <c r="F93" s="5">
        <v>8.31</v>
      </c>
      <c r="G93" s="5">
        <v>8.1</v>
      </c>
      <c r="H93" s="5">
        <v>8.56</v>
      </c>
      <c r="I93" s="5">
        <v>9.0399999999999991</v>
      </c>
      <c r="J93" s="5">
        <v>8.31</v>
      </c>
      <c r="K93" s="5">
        <v>8.07</v>
      </c>
      <c r="L93" s="6">
        <v>0</v>
      </c>
      <c r="M93" s="5">
        <v>8.86</v>
      </c>
      <c r="N93" s="5">
        <v>8.4</v>
      </c>
      <c r="O93" s="5">
        <v>8.75</v>
      </c>
      <c r="P93" s="5">
        <v>8.77</v>
      </c>
      <c r="Q93" s="5">
        <v>8.8000000000000007</v>
      </c>
      <c r="R93" s="5">
        <v>8.74</v>
      </c>
      <c r="S93" s="5">
        <v>8.1999999999999993</v>
      </c>
      <c r="T93" s="5">
        <v>8.0299999999999994</v>
      </c>
      <c r="U93" s="5">
        <v>8.84</v>
      </c>
      <c r="V93" s="5">
        <v>9.18</v>
      </c>
      <c r="W93" s="5">
        <v>8.8000000000000007</v>
      </c>
      <c r="X93" s="7">
        <f t="shared" si="4"/>
        <v>145.76000000000002</v>
      </c>
      <c r="Y93" s="5">
        <f t="shared" si="5"/>
        <v>8.5741176470588254</v>
      </c>
    </row>
    <row r="94" spans="1:25" x14ac:dyDescent="0.2">
      <c r="A94" s="2" t="s">
        <v>160</v>
      </c>
      <c r="B94" s="3" t="s">
        <v>53</v>
      </c>
      <c r="C94" s="3" t="s">
        <v>30</v>
      </c>
      <c r="D94" s="2" t="s">
        <v>147</v>
      </c>
      <c r="E94" s="4">
        <v>7</v>
      </c>
      <c r="F94" s="5">
        <v>10.17</v>
      </c>
      <c r="G94" s="5">
        <v>9.0399999999999991</v>
      </c>
      <c r="H94" s="5">
        <v>5.59</v>
      </c>
      <c r="I94" s="5">
        <v>7.29</v>
      </c>
      <c r="J94" s="5">
        <v>6.66</v>
      </c>
      <c r="K94" s="5">
        <v>6.15</v>
      </c>
      <c r="L94" s="6">
        <v>0</v>
      </c>
      <c r="M94" s="5">
        <v>4.8499999999999996</v>
      </c>
      <c r="N94" s="5">
        <v>8.44</v>
      </c>
      <c r="O94" s="5">
        <v>5.84</v>
      </c>
      <c r="P94" s="5">
        <v>9.64</v>
      </c>
      <c r="Q94" s="5">
        <v>8.1300000000000008</v>
      </c>
      <c r="R94" s="5">
        <v>7.51</v>
      </c>
      <c r="S94" s="5">
        <v>9.3699999999999992</v>
      </c>
      <c r="T94" s="5">
        <v>6.64</v>
      </c>
      <c r="U94" s="5">
        <v>9.09</v>
      </c>
      <c r="V94" s="5">
        <v>6.72</v>
      </c>
      <c r="W94" s="5">
        <v>5.99</v>
      </c>
      <c r="X94" s="7">
        <f t="shared" si="4"/>
        <v>127.12</v>
      </c>
      <c r="Y94" s="5">
        <f t="shared" si="5"/>
        <v>7.4776470588235293</v>
      </c>
    </row>
    <row r="95" spans="1:25" x14ac:dyDescent="0.2">
      <c r="A95" s="2" t="s">
        <v>161</v>
      </c>
      <c r="B95" s="3" t="s">
        <v>53</v>
      </c>
      <c r="C95" s="3" t="s">
        <v>150</v>
      </c>
      <c r="D95" s="2" t="s">
        <v>147</v>
      </c>
      <c r="E95" s="4">
        <v>6</v>
      </c>
      <c r="F95" s="5">
        <v>6.71</v>
      </c>
      <c r="G95" s="5">
        <v>6.71</v>
      </c>
      <c r="H95" s="5">
        <v>6.72</v>
      </c>
      <c r="I95" s="5">
        <v>6.75</v>
      </c>
      <c r="J95" s="5">
        <v>7.26</v>
      </c>
      <c r="K95" s="6">
        <v>0</v>
      </c>
      <c r="L95" s="5">
        <v>4.95</v>
      </c>
      <c r="M95" s="5">
        <v>7.77</v>
      </c>
      <c r="N95" s="5">
        <v>6.77</v>
      </c>
      <c r="O95" s="5">
        <v>7.26</v>
      </c>
      <c r="P95" s="5">
        <v>5.73</v>
      </c>
      <c r="Q95" s="5">
        <v>7.9</v>
      </c>
      <c r="R95" s="5">
        <v>8.5299999999999994</v>
      </c>
      <c r="S95" s="5">
        <v>5.76</v>
      </c>
      <c r="T95" s="5">
        <v>7.11</v>
      </c>
      <c r="U95" s="5">
        <v>7.11</v>
      </c>
      <c r="V95" s="5">
        <v>5.31</v>
      </c>
      <c r="W95" s="5">
        <v>9.18</v>
      </c>
      <c r="X95" s="7">
        <f t="shared" si="4"/>
        <v>117.53</v>
      </c>
      <c r="Y95" s="5">
        <f t="shared" si="5"/>
        <v>6.9135294117647064</v>
      </c>
    </row>
    <row r="96" spans="1:25" x14ac:dyDescent="0.2">
      <c r="A96" s="2" t="s">
        <v>162</v>
      </c>
      <c r="B96" s="3" t="s">
        <v>58</v>
      </c>
      <c r="C96" s="3" t="s">
        <v>42</v>
      </c>
      <c r="D96" s="2" t="s">
        <v>147</v>
      </c>
      <c r="E96" s="4">
        <v>14</v>
      </c>
      <c r="F96" s="5">
        <v>10.02</v>
      </c>
      <c r="G96" s="5">
        <v>10.77</v>
      </c>
      <c r="H96" s="5">
        <v>9.86</v>
      </c>
      <c r="I96" s="5">
        <v>9.4499999999999993</v>
      </c>
      <c r="J96" s="5">
        <v>10.28</v>
      </c>
      <c r="K96" s="5">
        <v>9.83</v>
      </c>
      <c r="L96" s="5">
        <v>9.5399999999999991</v>
      </c>
      <c r="M96" s="5">
        <v>10.77</v>
      </c>
      <c r="N96" s="5">
        <v>10.029999999999999</v>
      </c>
      <c r="O96" s="5">
        <v>10.38</v>
      </c>
      <c r="P96" s="5">
        <v>10.57</v>
      </c>
      <c r="Q96" s="5">
        <v>9.99</v>
      </c>
      <c r="R96" s="5">
        <v>9.44</v>
      </c>
      <c r="S96" s="6">
        <v>0</v>
      </c>
      <c r="T96" s="5">
        <v>9.44</v>
      </c>
      <c r="U96" s="5">
        <v>10.48</v>
      </c>
      <c r="V96" s="5">
        <v>10.48</v>
      </c>
      <c r="W96" s="5">
        <v>10.32</v>
      </c>
      <c r="X96" s="7">
        <f t="shared" si="4"/>
        <v>171.64999999999998</v>
      </c>
      <c r="Y96" s="5">
        <f t="shared" si="5"/>
        <v>10.097058823529411</v>
      </c>
    </row>
    <row r="97" spans="1:25" x14ac:dyDescent="0.2">
      <c r="A97" s="2" t="s">
        <v>163</v>
      </c>
      <c r="B97" s="3" t="s">
        <v>58</v>
      </c>
      <c r="C97" s="3" t="s">
        <v>150</v>
      </c>
      <c r="D97" s="2" t="s">
        <v>147</v>
      </c>
      <c r="E97" s="4">
        <v>6</v>
      </c>
      <c r="F97" s="5">
        <v>8.5299999999999994</v>
      </c>
      <c r="G97" s="5">
        <v>7.73</v>
      </c>
      <c r="H97" s="5">
        <v>7.83</v>
      </c>
      <c r="I97" s="5">
        <v>8.7200000000000006</v>
      </c>
      <c r="J97" s="5">
        <v>8.66</v>
      </c>
      <c r="K97" s="6">
        <v>0</v>
      </c>
      <c r="L97" s="5">
        <v>7.92</v>
      </c>
      <c r="M97" s="5">
        <v>8.81</v>
      </c>
      <c r="N97" s="5">
        <v>8.69</v>
      </c>
      <c r="O97" s="5">
        <v>8.26</v>
      </c>
      <c r="P97" s="5">
        <v>8.57</v>
      </c>
      <c r="Q97" s="5">
        <v>8.6300000000000008</v>
      </c>
      <c r="R97" s="5">
        <v>8.01</v>
      </c>
      <c r="S97" s="5">
        <v>8.44</v>
      </c>
      <c r="T97" s="5">
        <v>8.2799999999999994</v>
      </c>
      <c r="U97" s="5">
        <v>8.2899999999999991</v>
      </c>
      <c r="V97" s="5">
        <v>8.35</v>
      </c>
      <c r="W97" s="5">
        <v>8.44</v>
      </c>
      <c r="X97" s="7">
        <f t="shared" si="4"/>
        <v>142.16</v>
      </c>
      <c r="Y97" s="5">
        <f t="shared" si="5"/>
        <v>8.3623529411764697</v>
      </c>
    </row>
    <row r="98" spans="1:25" x14ac:dyDescent="0.2">
      <c r="A98" s="2" t="s">
        <v>164</v>
      </c>
      <c r="B98" s="3" t="s">
        <v>26</v>
      </c>
      <c r="C98" s="3" t="s">
        <v>42</v>
      </c>
      <c r="D98" s="2" t="s">
        <v>165</v>
      </c>
      <c r="E98" s="4">
        <v>14</v>
      </c>
      <c r="F98" s="5">
        <v>20.73</v>
      </c>
      <c r="G98" s="5">
        <v>23.03</v>
      </c>
      <c r="H98" s="5">
        <v>18.510000000000002</v>
      </c>
      <c r="I98" s="5">
        <v>17.059999999999999</v>
      </c>
      <c r="J98" s="5">
        <v>19.79</v>
      </c>
      <c r="K98" s="5">
        <v>19.899999999999999</v>
      </c>
      <c r="L98" s="5">
        <v>17.57</v>
      </c>
      <c r="M98" s="5">
        <v>22.89</v>
      </c>
      <c r="N98" s="5">
        <v>20.71</v>
      </c>
      <c r="O98" s="5">
        <v>21.39</v>
      </c>
      <c r="P98" s="5">
        <v>22.03</v>
      </c>
      <c r="Q98" s="5">
        <v>18.57</v>
      </c>
      <c r="R98" s="5">
        <v>17.02</v>
      </c>
      <c r="S98" s="6">
        <v>0</v>
      </c>
      <c r="T98" s="5">
        <v>17.190000000000001</v>
      </c>
      <c r="U98" s="5">
        <v>21.58</v>
      </c>
      <c r="V98" s="5">
        <v>21.71</v>
      </c>
      <c r="W98" s="5">
        <v>22.06</v>
      </c>
      <c r="X98" s="7">
        <f t="shared" ref="X98:X129" si="6">SUM(F98:W98)</f>
        <v>341.74</v>
      </c>
      <c r="Y98" s="5">
        <f t="shared" ref="Y98:Y129" si="7">IFERROR(AVERAGEIF(F98:W98,"&gt;0"),0)</f>
        <v>20.10235294117647</v>
      </c>
    </row>
    <row r="99" spans="1:25" x14ac:dyDescent="0.2">
      <c r="A99" s="2" t="s">
        <v>166</v>
      </c>
      <c r="B99" s="3" t="s">
        <v>26</v>
      </c>
      <c r="C99" s="3" t="s">
        <v>100</v>
      </c>
      <c r="D99" s="2" t="s">
        <v>165</v>
      </c>
      <c r="E99" s="4">
        <v>11</v>
      </c>
      <c r="F99" s="5">
        <v>16.399999999999999</v>
      </c>
      <c r="G99" s="5">
        <v>17.739999999999998</v>
      </c>
      <c r="H99" s="5">
        <v>18.86</v>
      </c>
      <c r="I99" s="5">
        <v>16.78</v>
      </c>
      <c r="J99" s="5">
        <v>17.29</v>
      </c>
      <c r="K99" s="5">
        <v>14.43</v>
      </c>
      <c r="L99" s="5">
        <v>16.39</v>
      </c>
      <c r="M99" s="5">
        <v>17.02</v>
      </c>
      <c r="N99" s="5">
        <v>18.489999999999998</v>
      </c>
      <c r="O99" s="5">
        <v>17.5</v>
      </c>
      <c r="P99" s="6">
        <v>0</v>
      </c>
      <c r="Q99" s="5">
        <v>16.36</v>
      </c>
      <c r="R99" s="5">
        <v>17.170000000000002</v>
      </c>
      <c r="S99" s="5">
        <v>17.48</v>
      </c>
      <c r="T99" s="5">
        <v>14.79</v>
      </c>
      <c r="U99" s="5">
        <v>15.3</v>
      </c>
      <c r="V99" s="5">
        <v>16.7</v>
      </c>
      <c r="W99" s="5">
        <v>14.44</v>
      </c>
      <c r="X99" s="7">
        <f t="shared" si="6"/>
        <v>283.14</v>
      </c>
      <c r="Y99" s="5">
        <f t="shared" si="7"/>
        <v>16.65529411764706</v>
      </c>
    </row>
    <row r="100" spans="1:25" x14ac:dyDescent="0.2">
      <c r="A100" s="2" t="s">
        <v>167</v>
      </c>
      <c r="B100" s="3" t="s">
        <v>32</v>
      </c>
      <c r="C100" s="3" t="s">
        <v>105</v>
      </c>
      <c r="D100" s="2" t="s">
        <v>165</v>
      </c>
      <c r="E100" s="4">
        <v>7</v>
      </c>
      <c r="F100" s="5">
        <v>16.23</v>
      </c>
      <c r="G100" s="5">
        <v>17.72</v>
      </c>
      <c r="H100" s="5">
        <v>18.170000000000002</v>
      </c>
      <c r="I100" s="5">
        <v>17.87</v>
      </c>
      <c r="J100" s="5">
        <v>15.61</v>
      </c>
      <c r="K100" s="5">
        <v>19.489999999999998</v>
      </c>
      <c r="L100" s="6">
        <v>0</v>
      </c>
      <c r="M100" s="5">
        <v>17.37</v>
      </c>
      <c r="N100" s="5">
        <v>18.13</v>
      </c>
      <c r="O100" s="5">
        <v>18.22</v>
      </c>
      <c r="P100" s="5">
        <v>21.46</v>
      </c>
      <c r="Q100" s="5">
        <v>17.850000000000001</v>
      </c>
      <c r="R100" s="5">
        <v>17.100000000000001</v>
      </c>
      <c r="S100" s="5">
        <v>17.47</v>
      </c>
      <c r="T100" s="5">
        <v>18.63</v>
      </c>
      <c r="U100" s="5">
        <v>16</v>
      </c>
      <c r="V100" s="5">
        <v>20.56</v>
      </c>
      <c r="W100" s="5">
        <v>19.04</v>
      </c>
      <c r="X100" s="7">
        <f t="shared" si="6"/>
        <v>306.92</v>
      </c>
      <c r="Y100" s="5">
        <f t="shared" si="7"/>
        <v>18.054117647058824</v>
      </c>
    </row>
    <row r="101" spans="1:25" x14ac:dyDescent="0.2">
      <c r="A101" s="2" t="s">
        <v>168</v>
      </c>
      <c r="B101" s="3" t="s">
        <v>32</v>
      </c>
      <c r="C101" s="3" t="s">
        <v>42</v>
      </c>
      <c r="D101" s="2" t="s">
        <v>165</v>
      </c>
      <c r="E101" s="4">
        <v>14</v>
      </c>
      <c r="F101" s="5">
        <v>16.87</v>
      </c>
      <c r="G101" s="5">
        <v>18.760000000000002</v>
      </c>
      <c r="H101" s="5">
        <v>15.47</v>
      </c>
      <c r="I101" s="5">
        <v>14.64</v>
      </c>
      <c r="J101" s="5">
        <v>16.8</v>
      </c>
      <c r="K101" s="5">
        <v>15.94</v>
      </c>
      <c r="L101" s="5">
        <v>14.81</v>
      </c>
      <c r="M101" s="5">
        <v>19.2</v>
      </c>
      <c r="N101" s="5">
        <v>16.850000000000001</v>
      </c>
      <c r="O101" s="5">
        <v>17.03</v>
      </c>
      <c r="P101" s="5">
        <v>18.41</v>
      </c>
      <c r="Q101" s="5">
        <v>15.56</v>
      </c>
      <c r="R101" s="5">
        <v>14.38</v>
      </c>
      <c r="S101" s="6">
        <v>0</v>
      </c>
      <c r="T101" s="5">
        <v>14.11</v>
      </c>
      <c r="U101" s="5">
        <v>17.48</v>
      </c>
      <c r="V101" s="5">
        <v>17.670000000000002</v>
      </c>
      <c r="W101" s="5">
        <v>17.940000000000001</v>
      </c>
      <c r="X101" s="7">
        <f t="shared" si="6"/>
        <v>281.91999999999996</v>
      </c>
      <c r="Y101" s="5">
        <f t="shared" si="7"/>
        <v>16.583529411764705</v>
      </c>
    </row>
    <row r="102" spans="1:25" x14ac:dyDescent="0.2">
      <c r="A102" s="2" t="s">
        <v>169</v>
      </c>
      <c r="B102" s="3" t="s">
        <v>32</v>
      </c>
      <c r="C102" s="3" t="s">
        <v>61</v>
      </c>
      <c r="D102" s="2" t="s">
        <v>165</v>
      </c>
      <c r="E102" s="4">
        <v>6</v>
      </c>
      <c r="F102" s="5">
        <v>9.34</v>
      </c>
      <c r="G102" s="5">
        <v>9.01</v>
      </c>
      <c r="H102" s="5">
        <v>8.84</v>
      </c>
      <c r="I102" s="5">
        <v>11.44</v>
      </c>
      <c r="J102" s="5">
        <v>9.26</v>
      </c>
      <c r="K102" s="6">
        <v>0</v>
      </c>
      <c r="L102" s="5">
        <v>9.9499999999999993</v>
      </c>
      <c r="M102" s="5">
        <v>8.44</v>
      </c>
      <c r="N102" s="5">
        <v>10.1</v>
      </c>
      <c r="O102" s="5">
        <v>8.77</v>
      </c>
      <c r="P102" s="5">
        <v>9.24</v>
      </c>
      <c r="Q102" s="5">
        <v>10.63</v>
      </c>
      <c r="R102" s="5">
        <v>10.14</v>
      </c>
      <c r="S102" s="5">
        <v>8.5299999999999994</v>
      </c>
      <c r="T102" s="5">
        <v>8.99</v>
      </c>
      <c r="U102" s="5">
        <v>10.68</v>
      </c>
      <c r="V102" s="5">
        <v>9.01</v>
      </c>
      <c r="W102" s="5">
        <v>9.3000000000000007</v>
      </c>
      <c r="X102" s="7">
        <f t="shared" si="6"/>
        <v>161.66999999999999</v>
      </c>
      <c r="Y102" s="5">
        <f t="shared" si="7"/>
        <v>9.51</v>
      </c>
    </row>
    <row r="103" spans="1:25" x14ac:dyDescent="0.2">
      <c r="A103" s="2" t="s">
        <v>170</v>
      </c>
      <c r="B103" s="3" t="s">
        <v>32</v>
      </c>
      <c r="C103" s="3" t="s">
        <v>131</v>
      </c>
      <c r="D103" s="2" t="s">
        <v>165</v>
      </c>
      <c r="E103" s="4">
        <v>11</v>
      </c>
      <c r="F103" s="5">
        <v>5.2</v>
      </c>
      <c r="G103" s="5">
        <v>6.37</v>
      </c>
      <c r="H103" s="5">
        <v>5.57</v>
      </c>
      <c r="I103" s="5">
        <v>5.84</v>
      </c>
      <c r="J103" s="5">
        <v>5.55</v>
      </c>
      <c r="K103" s="5">
        <v>6.06</v>
      </c>
      <c r="L103" s="5">
        <v>6.03</v>
      </c>
      <c r="M103" s="5">
        <v>5.6</v>
      </c>
      <c r="N103" s="5">
        <v>6.16</v>
      </c>
      <c r="O103" s="5">
        <v>5.56</v>
      </c>
      <c r="P103" s="6">
        <v>0</v>
      </c>
      <c r="Q103" s="5">
        <v>5.65</v>
      </c>
      <c r="R103" s="5">
        <v>5.52</v>
      </c>
      <c r="S103" s="5">
        <v>5.46</v>
      </c>
      <c r="T103" s="5">
        <v>6.18</v>
      </c>
      <c r="U103" s="5">
        <v>5.75</v>
      </c>
      <c r="V103" s="5">
        <v>6</v>
      </c>
      <c r="W103" s="5">
        <v>5.84</v>
      </c>
      <c r="X103" s="7">
        <f t="shared" si="6"/>
        <v>98.34</v>
      </c>
      <c r="Y103" s="5">
        <f t="shared" si="7"/>
        <v>5.7847058823529416</v>
      </c>
    </row>
    <row r="104" spans="1:25" x14ac:dyDescent="0.2">
      <c r="A104" s="2" t="s">
        <v>171</v>
      </c>
      <c r="B104" s="3" t="s">
        <v>41</v>
      </c>
      <c r="C104" s="3" t="s">
        <v>100</v>
      </c>
      <c r="D104" s="2" t="s">
        <v>165</v>
      </c>
      <c r="E104" s="4">
        <v>11</v>
      </c>
      <c r="F104" s="5">
        <v>20.88</v>
      </c>
      <c r="G104" s="5">
        <v>21.76</v>
      </c>
      <c r="H104" s="5">
        <v>22.08</v>
      </c>
      <c r="I104" s="5">
        <v>21.23</v>
      </c>
      <c r="J104" s="5">
        <v>21.53</v>
      </c>
      <c r="K104" s="5">
        <v>19.91</v>
      </c>
      <c r="L104" s="5">
        <v>21.02</v>
      </c>
      <c r="M104" s="5">
        <v>21.52</v>
      </c>
      <c r="N104" s="5">
        <v>21.93</v>
      </c>
      <c r="O104" s="5">
        <v>21.6</v>
      </c>
      <c r="P104" s="6">
        <v>0</v>
      </c>
      <c r="Q104" s="5">
        <v>21.5</v>
      </c>
      <c r="R104" s="5">
        <v>21.82</v>
      </c>
      <c r="S104" s="5">
        <v>21.5</v>
      </c>
      <c r="T104" s="5">
        <v>20.399999999999999</v>
      </c>
      <c r="U104" s="5">
        <v>20.61</v>
      </c>
      <c r="V104" s="5">
        <v>21.19</v>
      </c>
      <c r="W104" s="5">
        <v>20.440000000000001</v>
      </c>
      <c r="X104" s="7">
        <f t="shared" si="6"/>
        <v>360.92</v>
      </c>
      <c r="Y104" s="5">
        <f t="shared" si="7"/>
        <v>21.230588235294118</v>
      </c>
    </row>
    <row r="105" spans="1:25" x14ac:dyDescent="0.2">
      <c r="A105" s="2" t="s">
        <v>172</v>
      </c>
      <c r="B105" s="3" t="s">
        <v>41</v>
      </c>
      <c r="C105" s="3" t="s">
        <v>33</v>
      </c>
      <c r="D105" s="2" t="s">
        <v>165</v>
      </c>
      <c r="E105" s="4">
        <v>13</v>
      </c>
      <c r="F105" s="5">
        <v>15.41</v>
      </c>
      <c r="G105" s="5">
        <v>15.16</v>
      </c>
      <c r="H105" s="5">
        <v>15.61</v>
      </c>
      <c r="I105" s="5">
        <v>15.37</v>
      </c>
      <c r="J105" s="5">
        <v>15.61</v>
      </c>
      <c r="K105" s="5">
        <v>14.41</v>
      </c>
      <c r="L105" s="5">
        <v>16</v>
      </c>
      <c r="M105" s="5">
        <v>16.18</v>
      </c>
      <c r="N105" s="5">
        <v>15.64</v>
      </c>
      <c r="O105" s="5">
        <v>15.3</v>
      </c>
      <c r="P105" s="5">
        <v>15.2</v>
      </c>
      <c r="Q105" s="5">
        <v>14.09</v>
      </c>
      <c r="R105" s="6">
        <v>0</v>
      </c>
      <c r="S105" s="5">
        <v>15.11</v>
      </c>
      <c r="T105" s="5">
        <v>14.25</v>
      </c>
      <c r="U105" s="5">
        <v>14.53</v>
      </c>
      <c r="V105" s="5">
        <v>15.87</v>
      </c>
      <c r="W105" s="5">
        <v>14.38</v>
      </c>
      <c r="X105" s="7">
        <f t="shared" si="6"/>
        <v>258.12</v>
      </c>
      <c r="Y105" s="5">
        <f t="shared" si="7"/>
        <v>15.183529411764706</v>
      </c>
    </row>
    <row r="106" spans="1:25" x14ac:dyDescent="0.2">
      <c r="A106" s="2" t="s">
        <v>173</v>
      </c>
      <c r="B106" s="3" t="s">
        <v>41</v>
      </c>
      <c r="C106" s="3" t="s">
        <v>150</v>
      </c>
      <c r="D106" s="2" t="s">
        <v>165</v>
      </c>
      <c r="E106" s="4">
        <v>6</v>
      </c>
      <c r="F106" s="5">
        <v>13.67</v>
      </c>
      <c r="G106" s="5">
        <v>12.62</v>
      </c>
      <c r="H106" s="5">
        <v>12.79</v>
      </c>
      <c r="I106" s="5">
        <v>14.16</v>
      </c>
      <c r="J106" s="5">
        <v>14.32</v>
      </c>
      <c r="K106" s="6">
        <v>0</v>
      </c>
      <c r="L106" s="5">
        <v>13.22</v>
      </c>
      <c r="M106" s="5">
        <v>14.01</v>
      </c>
      <c r="N106" s="5">
        <v>14.22</v>
      </c>
      <c r="O106" s="5">
        <v>12.98</v>
      </c>
      <c r="P106" s="5">
        <v>14.45</v>
      </c>
      <c r="Q106" s="5">
        <v>13.76</v>
      </c>
      <c r="R106" s="5">
        <v>13.01</v>
      </c>
      <c r="S106" s="5">
        <v>13.58</v>
      </c>
      <c r="T106" s="5">
        <v>13.74</v>
      </c>
      <c r="U106" s="5">
        <v>13.9</v>
      </c>
      <c r="V106" s="5">
        <v>13.41</v>
      </c>
      <c r="W106" s="5">
        <v>13.19</v>
      </c>
      <c r="X106" s="7">
        <f t="shared" si="6"/>
        <v>231.03</v>
      </c>
      <c r="Y106" s="5">
        <f t="shared" si="7"/>
        <v>13.59</v>
      </c>
    </row>
    <row r="107" spans="1:25" x14ac:dyDescent="0.2">
      <c r="A107" s="2" t="s">
        <v>174</v>
      </c>
      <c r="B107" s="3" t="s">
        <v>41</v>
      </c>
      <c r="C107" s="3" t="s">
        <v>109</v>
      </c>
      <c r="D107" s="2" t="s">
        <v>165</v>
      </c>
      <c r="E107" s="4">
        <v>13</v>
      </c>
      <c r="F107" s="5">
        <v>11.47</v>
      </c>
      <c r="G107" s="5">
        <v>11.48</v>
      </c>
      <c r="H107" s="5">
        <v>10.98</v>
      </c>
      <c r="I107" s="5">
        <v>12.32</v>
      </c>
      <c r="J107" s="5">
        <v>10.99</v>
      </c>
      <c r="K107" s="5">
        <v>11.87</v>
      </c>
      <c r="L107" s="5">
        <v>11.62</v>
      </c>
      <c r="M107" s="5">
        <v>11.93</v>
      </c>
      <c r="N107" s="5">
        <v>12.04</v>
      </c>
      <c r="O107" s="5">
        <v>12.2</v>
      </c>
      <c r="P107" s="5">
        <v>10.87</v>
      </c>
      <c r="Q107" s="5">
        <v>11.92</v>
      </c>
      <c r="R107" s="6">
        <v>0</v>
      </c>
      <c r="S107" s="5">
        <v>11.19</v>
      </c>
      <c r="T107" s="5">
        <v>11.78</v>
      </c>
      <c r="U107" s="5">
        <v>12.29</v>
      </c>
      <c r="V107" s="5">
        <v>11.14</v>
      </c>
      <c r="W107" s="5">
        <v>12.03</v>
      </c>
      <c r="X107" s="7">
        <f t="shared" si="6"/>
        <v>198.12000000000003</v>
      </c>
      <c r="Y107" s="5">
        <f t="shared" si="7"/>
        <v>11.654117647058825</v>
      </c>
    </row>
    <row r="108" spans="1:25" x14ac:dyDescent="0.2">
      <c r="A108" s="2" t="s">
        <v>175</v>
      </c>
      <c r="B108" s="3" t="s">
        <v>48</v>
      </c>
      <c r="C108" s="3" t="s">
        <v>109</v>
      </c>
      <c r="D108" s="2" t="s">
        <v>165</v>
      </c>
      <c r="E108" s="4">
        <v>13</v>
      </c>
      <c r="F108" s="5">
        <v>12.77</v>
      </c>
      <c r="G108" s="5">
        <v>12.81</v>
      </c>
      <c r="H108" s="5">
        <v>12.24</v>
      </c>
      <c r="I108" s="5">
        <v>13.7</v>
      </c>
      <c r="J108" s="5">
        <v>12.27</v>
      </c>
      <c r="K108" s="5">
        <v>13.2</v>
      </c>
      <c r="L108" s="5">
        <v>12.96</v>
      </c>
      <c r="M108" s="5">
        <v>13.3</v>
      </c>
      <c r="N108" s="5">
        <v>13.38</v>
      </c>
      <c r="O108" s="5">
        <v>13.56</v>
      </c>
      <c r="P108" s="5">
        <v>12.14</v>
      </c>
      <c r="Q108" s="5">
        <v>13.25</v>
      </c>
      <c r="R108" s="6">
        <v>0</v>
      </c>
      <c r="S108" s="5">
        <v>12.49</v>
      </c>
      <c r="T108" s="5">
        <v>13.13</v>
      </c>
      <c r="U108" s="5">
        <v>13.66</v>
      </c>
      <c r="V108" s="5">
        <v>12.44</v>
      </c>
      <c r="W108" s="5">
        <v>13.38</v>
      </c>
      <c r="X108" s="7">
        <f t="shared" si="6"/>
        <v>220.67999999999998</v>
      </c>
      <c r="Y108" s="5">
        <f t="shared" si="7"/>
        <v>12.981176470588235</v>
      </c>
    </row>
    <row r="109" spans="1:25" x14ac:dyDescent="0.2">
      <c r="A109" s="2" t="s">
        <v>176</v>
      </c>
      <c r="B109" s="3" t="s">
        <v>48</v>
      </c>
      <c r="C109" s="3" t="s">
        <v>105</v>
      </c>
      <c r="D109" s="2" t="s">
        <v>165</v>
      </c>
      <c r="E109" s="4">
        <v>7</v>
      </c>
      <c r="F109" s="5">
        <v>8.94</v>
      </c>
      <c r="G109" s="5">
        <v>9.49</v>
      </c>
      <c r="H109" s="5">
        <v>9.5399999999999991</v>
      </c>
      <c r="I109" s="5">
        <v>9.4</v>
      </c>
      <c r="J109" s="5">
        <v>9.2100000000000009</v>
      </c>
      <c r="K109" s="5">
        <v>9.68</v>
      </c>
      <c r="L109" s="6">
        <v>0</v>
      </c>
      <c r="M109" s="5">
        <v>9.35</v>
      </c>
      <c r="N109" s="5">
        <v>9.4499999999999993</v>
      </c>
      <c r="O109" s="5">
        <v>9.44</v>
      </c>
      <c r="P109" s="5">
        <v>9.75</v>
      </c>
      <c r="Q109" s="5">
        <v>9.42</v>
      </c>
      <c r="R109" s="5">
        <v>9.3699999999999992</v>
      </c>
      <c r="S109" s="5">
        <v>9.4600000000000009</v>
      </c>
      <c r="T109" s="5">
        <v>9.6300000000000008</v>
      </c>
      <c r="U109" s="5">
        <v>9.0299999999999994</v>
      </c>
      <c r="V109" s="5">
        <v>9.76</v>
      </c>
      <c r="W109" s="5">
        <v>9.4600000000000009</v>
      </c>
      <c r="X109" s="7">
        <f t="shared" si="6"/>
        <v>160.38</v>
      </c>
      <c r="Y109" s="5">
        <f t="shared" si="7"/>
        <v>9.4341176470588231</v>
      </c>
    </row>
    <row r="110" spans="1:25" x14ac:dyDescent="0.2">
      <c r="A110" s="2" t="s">
        <v>177</v>
      </c>
      <c r="B110" s="3" t="s">
        <v>53</v>
      </c>
      <c r="C110" s="3" t="s">
        <v>59</v>
      </c>
      <c r="D110" s="2" t="s">
        <v>165</v>
      </c>
      <c r="E110" s="4">
        <v>8</v>
      </c>
      <c r="F110" s="5">
        <v>7.66</v>
      </c>
      <c r="G110" s="5">
        <v>9.2799999999999994</v>
      </c>
      <c r="H110" s="5">
        <v>10.09</v>
      </c>
      <c r="I110" s="5">
        <v>8.5399999999999991</v>
      </c>
      <c r="J110" s="5">
        <v>10.130000000000001</v>
      </c>
      <c r="K110" s="5">
        <v>9.0500000000000007</v>
      </c>
      <c r="L110" s="5">
        <v>9.5</v>
      </c>
      <c r="M110" s="6">
        <v>0</v>
      </c>
      <c r="N110" s="5">
        <v>9.36</v>
      </c>
      <c r="O110" s="5">
        <v>10.38</v>
      </c>
      <c r="P110" s="5">
        <v>9.64</v>
      </c>
      <c r="Q110" s="5">
        <v>8.1</v>
      </c>
      <c r="R110" s="5">
        <v>9.3699999999999992</v>
      </c>
      <c r="S110" s="5">
        <v>8.44</v>
      </c>
      <c r="T110" s="5">
        <v>10.1</v>
      </c>
      <c r="U110" s="5">
        <v>8.99</v>
      </c>
      <c r="V110" s="5">
        <v>7.77</v>
      </c>
      <c r="W110" s="5">
        <v>10.58</v>
      </c>
      <c r="X110" s="7">
        <f t="shared" si="6"/>
        <v>156.98000000000002</v>
      </c>
      <c r="Y110" s="5">
        <f t="shared" si="7"/>
        <v>9.2341176470588238</v>
      </c>
    </row>
    <row r="111" spans="1:25" x14ac:dyDescent="0.2">
      <c r="A111" s="2" t="s">
        <v>178</v>
      </c>
      <c r="B111" s="3" t="s">
        <v>53</v>
      </c>
      <c r="C111" s="3" t="s">
        <v>105</v>
      </c>
      <c r="D111" s="2" t="s">
        <v>165</v>
      </c>
      <c r="E111" s="4">
        <v>7</v>
      </c>
      <c r="F111" s="5">
        <v>6.5</v>
      </c>
      <c r="G111" s="5">
        <v>5.47</v>
      </c>
      <c r="H111" s="5">
        <v>6.99</v>
      </c>
      <c r="I111" s="5">
        <v>7.04</v>
      </c>
      <c r="J111" s="5">
        <v>4.41</v>
      </c>
      <c r="K111" s="5">
        <v>7.96</v>
      </c>
      <c r="L111" s="6">
        <v>0</v>
      </c>
      <c r="M111" s="5">
        <v>5.63</v>
      </c>
      <c r="N111" s="5">
        <v>6.74</v>
      </c>
      <c r="O111" s="5">
        <v>8.67</v>
      </c>
      <c r="P111" s="5">
        <v>7.6</v>
      </c>
      <c r="Q111" s="5">
        <v>5.43</v>
      </c>
      <c r="R111" s="5">
        <v>6.38</v>
      </c>
      <c r="S111" s="5">
        <v>4.54</v>
      </c>
      <c r="T111" s="5">
        <v>4.97</v>
      </c>
      <c r="U111" s="5">
        <v>4.5599999999999996</v>
      </c>
      <c r="V111" s="5">
        <v>7.55</v>
      </c>
      <c r="W111" s="5">
        <v>9.48</v>
      </c>
      <c r="X111" s="7">
        <f t="shared" si="6"/>
        <v>109.92</v>
      </c>
      <c r="Y111" s="5">
        <f t="shared" si="7"/>
        <v>6.4658823529411764</v>
      </c>
    </row>
    <row r="112" spans="1:25" x14ac:dyDescent="0.2">
      <c r="A112" s="2" t="s">
        <v>179</v>
      </c>
      <c r="B112" s="3" t="s">
        <v>58</v>
      </c>
      <c r="C112" s="3" t="s">
        <v>100</v>
      </c>
      <c r="D112" s="2" t="s">
        <v>165</v>
      </c>
      <c r="E112" s="4">
        <v>11</v>
      </c>
      <c r="F112" s="5">
        <v>9.3800000000000008</v>
      </c>
      <c r="G112" s="5">
        <v>9.52</v>
      </c>
      <c r="H112" s="5">
        <v>9.52</v>
      </c>
      <c r="I112" s="5">
        <v>9.4700000000000006</v>
      </c>
      <c r="J112" s="5">
        <v>9.58</v>
      </c>
      <c r="K112" s="5">
        <v>8.64</v>
      </c>
      <c r="L112" s="5">
        <v>9.3800000000000008</v>
      </c>
      <c r="M112" s="5">
        <v>9.58</v>
      </c>
      <c r="N112" s="5">
        <v>9.9700000000000006</v>
      </c>
      <c r="O112" s="5">
        <v>9.42</v>
      </c>
      <c r="P112" s="6">
        <v>0</v>
      </c>
      <c r="Q112" s="5">
        <v>9.1300000000000008</v>
      </c>
      <c r="R112" s="5">
        <v>9.58</v>
      </c>
      <c r="S112" s="5">
        <v>9.67</v>
      </c>
      <c r="T112" s="5">
        <v>8.74</v>
      </c>
      <c r="U112" s="5">
        <v>9.09</v>
      </c>
      <c r="V112" s="5">
        <v>9.2200000000000006</v>
      </c>
      <c r="W112" s="5">
        <v>8.64</v>
      </c>
      <c r="X112" s="7">
        <f t="shared" si="6"/>
        <v>158.52999999999997</v>
      </c>
      <c r="Y112" s="5">
        <f t="shared" si="7"/>
        <v>9.3252941176470578</v>
      </c>
    </row>
    <row r="113" spans="1:25" x14ac:dyDescent="0.2">
      <c r="A113" s="2" t="s">
        <v>180</v>
      </c>
      <c r="B113" s="3" t="s">
        <v>58</v>
      </c>
      <c r="C113" s="3" t="s">
        <v>109</v>
      </c>
      <c r="D113" s="2" t="s">
        <v>165</v>
      </c>
      <c r="E113" s="4">
        <v>13</v>
      </c>
      <c r="F113" s="5">
        <v>7.79</v>
      </c>
      <c r="G113" s="5">
        <v>7.47</v>
      </c>
      <c r="H113" s="5">
        <v>7.62</v>
      </c>
      <c r="I113" s="5">
        <v>8.1999999999999993</v>
      </c>
      <c r="J113" s="5">
        <v>7.3</v>
      </c>
      <c r="K113" s="5">
        <v>8.23</v>
      </c>
      <c r="L113" s="5">
        <v>7.64</v>
      </c>
      <c r="M113" s="5">
        <v>7.73</v>
      </c>
      <c r="N113" s="5">
        <v>8.0500000000000007</v>
      </c>
      <c r="O113" s="5">
        <v>8.49</v>
      </c>
      <c r="P113" s="5">
        <v>7.21</v>
      </c>
      <c r="Q113" s="5">
        <v>8.14</v>
      </c>
      <c r="R113" s="6">
        <v>0</v>
      </c>
      <c r="S113" s="5">
        <v>7.29</v>
      </c>
      <c r="T113" s="5">
        <v>7.82</v>
      </c>
      <c r="U113" s="5">
        <v>8.23</v>
      </c>
      <c r="V113" s="5">
        <v>7.47</v>
      </c>
      <c r="W113" s="5">
        <v>8.14</v>
      </c>
      <c r="X113" s="7">
        <f t="shared" si="6"/>
        <v>132.82</v>
      </c>
      <c r="Y113" s="5">
        <f t="shared" si="7"/>
        <v>7.8129411764705878</v>
      </c>
    </row>
    <row r="114" spans="1:25" x14ac:dyDescent="0.2">
      <c r="A114" s="2" t="s">
        <v>181</v>
      </c>
      <c r="B114" s="3" t="s">
        <v>26</v>
      </c>
      <c r="C114" s="3" t="s">
        <v>150</v>
      </c>
      <c r="D114" s="2" t="s">
        <v>182</v>
      </c>
      <c r="E114" s="4">
        <v>6</v>
      </c>
      <c r="F114" s="5">
        <v>22.06</v>
      </c>
      <c r="G114" s="5">
        <v>18.04</v>
      </c>
      <c r="H114" s="5">
        <v>18.57</v>
      </c>
      <c r="I114" s="5">
        <v>22.93</v>
      </c>
      <c r="J114" s="5">
        <v>23.85</v>
      </c>
      <c r="K114" s="6">
        <v>0</v>
      </c>
      <c r="L114" s="5">
        <v>19.079999999999998</v>
      </c>
      <c r="M114" s="5">
        <v>23.44</v>
      </c>
      <c r="N114" s="5">
        <v>23.42</v>
      </c>
      <c r="O114" s="5">
        <v>19.670000000000002</v>
      </c>
      <c r="P114" s="5">
        <v>23.44</v>
      </c>
      <c r="Q114" s="5">
        <v>22.57</v>
      </c>
      <c r="R114" s="5">
        <v>19.52</v>
      </c>
      <c r="S114" s="5">
        <v>21.66</v>
      </c>
      <c r="T114" s="5">
        <v>22.03</v>
      </c>
      <c r="U114" s="5">
        <v>21.95</v>
      </c>
      <c r="V114" s="5">
        <v>20.18</v>
      </c>
      <c r="W114" s="5">
        <v>20.62</v>
      </c>
      <c r="X114" s="7">
        <f t="shared" si="6"/>
        <v>363.03</v>
      </c>
      <c r="Y114" s="5">
        <f t="shared" si="7"/>
        <v>21.354705882352938</v>
      </c>
    </row>
    <row r="115" spans="1:25" x14ac:dyDescent="0.2">
      <c r="A115" s="2" t="s">
        <v>183</v>
      </c>
      <c r="B115" s="3" t="s">
        <v>26</v>
      </c>
      <c r="C115" s="3" t="s">
        <v>46</v>
      </c>
      <c r="D115" s="2" t="s">
        <v>182</v>
      </c>
      <c r="E115" s="4">
        <v>11</v>
      </c>
      <c r="F115" s="5">
        <v>17.5</v>
      </c>
      <c r="G115" s="5">
        <v>17.46</v>
      </c>
      <c r="H115" s="5">
        <v>19.350000000000001</v>
      </c>
      <c r="I115" s="5">
        <v>16.97</v>
      </c>
      <c r="J115" s="5">
        <v>18.18</v>
      </c>
      <c r="K115" s="5">
        <v>18.34</v>
      </c>
      <c r="L115" s="5">
        <v>16.59</v>
      </c>
      <c r="M115" s="5">
        <v>18.71</v>
      </c>
      <c r="N115" s="5">
        <v>16.59</v>
      </c>
      <c r="O115" s="5">
        <v>18.36</v>
      </c>
      <c r="P115" s="6">
        <v>0</v>
      </c>
      <c r="Q115" s="5">
        <v>15.54</v>
      </c>
      <c r="R115" s="5">
        <v>17.399999999999999</v>
      </c>
      <c r="S115" s="5">
        <v>20.49</v>
      </c>
      <c r="T115" s="5">
        <v>20.149999999999999</v>
      </c>
      <c r="U115" s="5">
        <v>17.32</v>
      </c>
      <c r="V115" s="5">
        <v>16.309999999999999</v>
      </c>
      <c r="W115" s="5">
        <v>17.46</v>
      </c>
      <c r="X115" s="7">
        <f t="shared" si="6"/>
        <v>302.72000000000003</v>
      </c>
      <c r="Y115" s="5">
        <f t="shared" si="7"/>
        <v>17.807058823529413</v>
      </c>
    </row>
    <row r="116" spans="1:25" x14ac:dyDescent="0.2">
      <c r="A116" s="2" t="s">
        <v>184</v>
      </c>
      <c r="B116" s="3" t="s">
        <v>32</v>
      </c>
      <c r="C116" s="3" t="s">
        <v>30</v>
      </c>
      <c r="D116" s="2" t="s">
        <v>182</v>
      </c>
      <c r="E116" s="4">
        <v>7</v>
      </c>
      <c r="F116" s="5">
        <v>18.91</v>
      </c>
      <c r="G116" s="5">
        <v>18.510000000000002</v>
      </c>
      <c r="H116" s="5">
        <v>17.190000000000001</v>
      </c>
      <c r="I116" s="5">
        <v>14.49</v>
      </c>
      <c r="J116" s="5">
        <v>15.21</v>
      </c>
      <c r="K116" s="5">
        <v>15.6</v>
      </c>
      <c r="L116" s="6">
        <v>0</v>
      </c>
      <c r="M116" s="5">
        <v>14.3</v>
      </c>
      <c r="N116" s="5">
        <v>15.37</v>
      </c>
      <c r="O116" s="5">
        <v>15.18</v>
      </c>
      <c r="P116" s="5">
        <v>17.3</v>
      </c>
      <c r="Q116" s="5">
        <v>16.309999999999999</v>
      </c>
      <c r="R116" s="5">
        <v>16.02</v>
      </c>
      <c r="S116" s="5">
        <v>17.760000000000002</v>
      </c>
      <c r="T116" s="5">
        <v>16.989999999999998</v>
      </c>
      <c r="U116" s="5">
        <v>18.690000000000001</v>
      </c>
      <c r="V116" s="5">
        <v>16.29</v>
      </c>
      <c r="W116" s="5">
        <v>14.53</v>
      </c>
      <c r="X116" s="7">
        <f t="shared" si="6"/>
        <v>278.64999999999998</v>
      </c>
      <c r="Y116" s="5">
        <f t="shared" si="7"/>
        <v>16.391176470588235</v>
      </c>
    </row>
    <row r="117" spans="1:25" x14ac:dyDescent="0.2">
      <c r="A117" s="2" t="s">
        <v>185</v>
      </c>
      <c r="B117" s="3" t="s">
        <v>32</v>
      </c>
      <c r="C117" s="3" t="s">
        <v>46</v>
      </c>
      <c r="D117" s="2" t="s">
        <v>182</v>
      </c>
      <c r="E117" s="4">
        <v>11</v>
      </c>
      <c r="F117" s="5">
        <v>16.13</v>
      </c>
      <c r="G117" s="5">
        <v>16.18</v>
      </c>
      <c r="H117" s="5">
        <v>18.16</v>
      </c>
      <c r="I117" s="5">
        <v>15.61</v>
      </c>
      <c r="J117" s="5">
        <v>16.71</v>
      </c>
      <c r="K117" s="5">
        <v>16.52</v>
      </c>
      <c r="L117" s="5">
        <v>15.08</v>
      </c>
      <c r="M117" s="5">
        <v>17.399999999999999</v>
      </c>
      <c r="N117" s="5">
        <v>15.18</v>
      </c>
      <c r="O117" s="5">
        <v>16.91</v>
      </c>
      <c r="P117" s="6">
        <v>0</v>
      </c>
      <c r="Q117" s="5">
        <v>13.79</v>
      </c>
      <c r="R117" s="5">
        <v>16.170000000000002</v>
      </c>
      <c r="S117" s="5">
        <v>17.62</v>
      </c>
      <c r="T117" s="5">
        <v>19.25</v>
      </c>
      <c r="U117" s="5">
        <v>15.93</v>
      </c>
      <c r="V117" s="5">
        <v>14.94</v>
      </c>
      <c r="W117" s="5">
        <v>15.84</v>
      </c>
      <c r="X117" s="7">
        <f t="shared" si="6"/>
        <v>277.41999999999996</v>
      </c>
      <c r="Y117" s="5">
        <f t="shared" si="7"/>
        <v>16.318823529411763</v>
      </c>
    </row>
    <row r="118" spans="1:25" x14ac:dyDescent="0.2">
      <c r="A118" s="2" t="s">
        <v>186</v>
      </c>
      <c r="B118" s="3" t="s">
        <v>32</v>
      </c>
      <c r="C118" s="3" t="s">
        <v>102</v>
      </c>
      <c r="D118" s="2" t="s">
        <v>182</v>
      </c>
      <c r="E118" s="4">
        <v>10</v>
      </c>
      <c r="F118" s="5">
        <v>13.5</v>
      </c>
      <c r="G118" s="5">
        <v>13.73</v>
      </c>
      <c r="H118" s="5">
        <v>12.38</v>
      </c>
      <c r="I118" s="5">
        <v>13.78</v>
      </c>
      <c r="J118" s="5">
        <v>12.67</v>
      </c>
      <c r="K118" s="5">
        <v>14.06</v>
      </c>
      <c r="L118" s="5">
        <v>12.97</v>
      </c>
      <c r="M118" s="5">
        <v>11.47</v>
      </c>
      <c r="N118" s="5">
        <v>13.31</v>
      </c>
      <c r="O118" s="6">
        <v>0</v>
      </c>
      <c r="P118" s="5">
        <v>13.78</v>
      </c>
      <c r="Q118" s="5">
        <v>12.3</v>
      </c>
      <c r="R118" s="5">
        <v>13.84</v>
      </c>
      <c r="S118" s="5">
        <v>14.9</v>
      </c>
      <c r="T118" s="5">
        <v>13.62</v>
      </c>
      <c r="U118" s="5">
        <v>13.25</v>
      </c>
      <c r="V118" s="5">
        <v>12.88</v>
      </c>
      <c r="W118" s="5">
        <v>13.13</v>
      </c>
      <c r="X118" s="7">
        <f t="shared" si="6"/>
        <v>225.57000000000002</v>
      </c>
      <c r="Y118" s="5">
        <f t="shared" si="7"/>
        <v>13.268823529411765</v>
      </c>
    </row>
    <row r="119" spans="1:25" x14ac:dyDescent="0.2">
      <c r="A119" s="2" t="s">
        <v>187</v>
      </c>
      <c r="B119" s="3" t="s">
        <v>32</v>
      </c>
      <c r="C119" s="3" t="s">
        <v>54</v>
      </c>
      <c r="D119" s="2" t="s">
        <v>182</v>
      </c>
      <c r="E119" s="4">
        <v>10</v>
      </c>
      <c r="F119" s="5">
        <v>8.58</v>
      </c>
      <c r="G119" s="5">
        <v>9.19</v>
      </c>
      <c r="H119" s="5">
        <v>8.33</v>
      </c>
      <c r="I119" s="5">
        <v>8.8800000000000008</v>
      </c>
      <c r="J119" s="5">
        <v>8.7200000000000006</v>
      </c>
      <c r="K119" s="5">
        <v>8.32</v>
      </c>
      <c r="L119" s="5">
        <v>9.43</v>
      </c>
      <c r="M119" s="5">
        <v>8.76</v>
      </c>
      <c r="N119" s="5">
        <v>9</v>
      </c>
      <c r="O119" s="6">
        <v>0</v>
      </c>
      <c r="P119" s="5">
        <v>9.4700000000000006</v>
      </c>
      <c r="Q119" s="5">
        <v>8.27</v>
      </c>
      <c r="R119" s="5">
        <v>9.75</v>
      </c>
      <c r="S119" s="5">
        <v>8.86</v>
      </c>
      <c r="T119" s="5">
        <v>9.2799999999999994</v>
      </c>
      <c r="U119" s="5">
        <v>9.5</v>
      </c>
      <c r="V119" s="5">
        <v>8.57</v>
      </c>
      <c r="W119" s="5">
        <v>8.91</v>
      </c>
      <c r="X119" s="7">
        <f t="shared" si="6"/>
        <v>151.82</v>
      </c>
      <c r="Y119" s="5">
        <f t="shared" si="7"/>
        <v>8.9305882352941168</v>
      </c>
    </row>
    <row r="120" spans="1:25" x14ac:dyDescent="0.2">
      <c r="A120" s="2" t="s">
        <v>188</v>
      </c>
      <c r="B120" s="3" t="s">
        <v>41</v>
      </c>
      <c r="C120" s="3" t="s">
        <v>150</v>
      </c>
      <c r="D120" s="2" t="s">
        <v>182</v>
      </c>
      <c r="E120" s="4">
        <v>6</v>
      </c>
      <c r="F120" s="5">
        <v>21.86</v>
      </c>
      <c r="G120" s="5">
        <v>20.309999999999999</v>
      </c>
      <c r="H120" s="5">
        <v>20.55</v>
      </c>
      <c r="I120" s="5">
        <v>22.61</v>
      </c>
      <c r="J120" s="5">
        <v>22.81</v>
      </c>
      <c r="K120" s="6">
        <v>0</v>
      </c>
      <c r="L120" s="5">
        <v>21.24</v>
      </c>
      <c r="M120" s="5">
        <v>22.33</v>
      </c>
      <c r="N120" s="5">
        <v>22.67</v>
      </c>
      <c r="O120" s="5">
        <v>20.81</v>
      </c>
      <c r="P120" s="5">
        <v>23.05</v>
      </c>
      <c r="Q120" s="5">
        <v>21.98</v>
      </c>
      <c r="R120" s="5">
        <v>20.86</v>
      </c>
      <c r="S120" s="5">
        <v>21.76</v>
      </c>
      <c r="T120" s="5">
        <v>21.98</v>
      </c>
      <c r="U120" s="5">
        <v>22.23</v>
      </c>
      <c r="V120" s="5">
        <v>21.52</v>
      </c>
      <c r="W120" s="5">
        <v>21.1</v>
      </c>
      <c r="X120" s="7">
        <f t="shared" si="6"/>
        <v>369.67</v>
      </c>
      <c r="Y120" s="5">
        <f t="shared" si="7"/>
        <v>21.74529411764706</v>
      </c>
    </row>
    <row r="121" spans="1:25" x14ac:dyDescent="0.2">
      <c r="A121" s="2" t="s">
        <v>189</v>
      </c>
      <c r="B121" s="3" t="s">
        <v>41</v>
      </c>
      <c r="C121" s="3" t="s">
        <v>42</v>
      </c>
      <c r="D121" s="2" t="s">
        <v>182</v>
      </c>
      <c r="E121" s="4">
        <v>14</v>
      </c>
      <c r="F121" s="5">
        <v>15.21</v>
      </c>
      <c r="G121" s="5">
        <v>15.91</v>
      </c>
      <c r="H121" s="5">
        <v>14.72</v>
      </c>
      <c r="I121" s="5">
        <v>14.01</v>
      </c>
      <c r="J121" s="5">
        <v>14.99</v>
      </c>
      <c r="K121" s="5">
        <v>14.94</v>
      </c>
      <c r="L121" s="5">
        <v>14.43</v>
      </c>
      <c r="M121" s="5">
        <v>15.69</v>
      </c>
      <c r="N121" s="5">
        <v>15.27</v>
      </c>
      <c r="O121" s="5">
        <v>15.39</v>
      </c>
      <c r="P121" s="5">
        <v>15.26</v>
      </c>
      <c r="Q121" s="5">
        <v>14.58</v>
      </c>
      <c r="R121" s="5">
        <v>14.22</v>
      </c>
      <c r="S121" s="6">
        <v>0</v>
      </c>
      <c r="T121" s="5">
        <v>14.43</v>
      </c>
      <c r="U121" s="5">
        <v>15.49</v>
      </c>
      <c r="V121" s="5">
        <v>15.34</v>
      </c>
      <c r="W121" s="5">
        <v>15.8</v>
      </c>
      <c r="X121" s="7">
        <f t="shared" si="6"/>
        <v>255.68000000000004</v>
      </c>
      <c r="Y121" s="5">
        <f t="shared" si="7"/>
        <v>15.040000000000003</v>
      </c>
    </row>
    <row r="122" spans="1:25" x14ac:dyDescent="0.2">
      <c r="A122" s="2" t="s">
        <v>190</v>
      </c>
      <c r="B122" s="3" t="s">
        <v>41</v>
      </c>
      <c r="C122" s="3" t="s">
        <v>56</v>
      </c>
      <c r="D122" s="2" t="s">
        <v>182</v>
      </c>
      <c r="E122" s="4">
        <v>7</v>
      </c>
      <c r="F122" s="5">
        <v>11.24</v>
      </c>
      <c r="G122" s="5">
        <v>10.79</v>
      </c>
      <c r="H122" s="5">
        <v>11.5</v>
      </c>
      <c r="I122" s="5">
        <v>12.14</v>
      </c>
      <c r="J122" s="5">
        <v>11.11</v>
      </c>
      <c r="K122" s="5">
        <v>10.8</v>
      </c>
      <c r="L122" s="6">
        <v>0</v>
      </c>
      <c r="M122" s="5">
        <v>11.99</v>
      </c>
      <c r="N122" s="5">
        <v>11.2</v>
      </c>
      <c r="O122" s="5">
        <v>11.79</v>
      </c>
      <c r="P122" s="5">
        <v>11.78</v>
      </c>
      <c r="Q122" s="5">
        <v>11.94</v>
      </c>
      <c r="R122" s="5">
        <v>11.71</v>
      </c>
      <c r="S122" s="5">
        <v>11.04</v>
      </c>
      <c r="T122" s="5">
        <v>10.72</v>
      </c>
      <c r="U122" s="5">
        <v>11.82</v>
      </c>
      <c r="V122" s="5">
        <v>12.45</v>
      </c>
      <c r="W122" s="5">
        <v>11.83</v>
      </c>
      <c r="X122" s="7">
        <f t="shared" si="6"/>
        <v>195.85</v>
      </c>
      <c r="Y122" s="5">
        <f t="shared" si="7"/>
        <v>11.520588235294117</v>
      </c>
    </row>
    <row r="123" spans="1:25" x14ac:dyDescent="0.2">
      <c r="A123" s="2" t="s">
        <v>191</v>
      </c>
      <c r="B123" s="3" t="s">
        <v>41</v>
      </c>
      <c r="C123" s="3" t="s">
        <v>127</v>
      </c>
      <c r="D123" s="2" t="s">
        <v>182</v>
      </c>
      <c r="E123" s="4">
        <v>8</v>
      </c>
      <c r="F123" s="5">
        <v>12.2</v>
      </c>
      <c r="G123" s="5">
        <v>11.73</v>
      </c>
      <c r="H123" s="5">
        <v>11.73</v>
      </c>
      <c r="I123" s="5">
        <v>10.47</v>
      </c>
      <c r="J123" s="5">
        <v>10.38</v>
      </c>
      <c r="K123" s="5">
        <v>11.89</v>
      </c>
      <c r="L123" s="5">
        <v>11.5</v>
      </c>
      <c r="M123" s="6">
        <v>0</v>
      </c>
      <c r="N123" s="5">
        <v>11.56</v>
      </c>
      <c r="O123" s="5">
        <v>11.35</v>
      </c>
      <c r="P123" s="5">
        <v>11.11</v>
      </c>
      <c r="Q123" s="5">
        <v>10.53</v>
      </c>
      <c r="R123" s="5">
        <v>11.25</v>
      </c>
      <c r="S123" s="5">
        <v>10.69</v>
      </c>
      <c r="T123" s="5">
        <v>11.07</v>
      </c>
      <c r="U123" s="5">
        <v>10.88</v>
      </c>
      <c r="V123" s="5">
        <v>10.71</v>
      </c>
      <c r="W123" s="5">
        <v>11.61</v>
      </c>
      <c r="X123" s="7">
        <f t="shared" si="6"/>
        <v>190.65999999999997</v>
      </c>
      <c r="Y123" s="5">
        <f t="shared" si="7"/>
        <v>11.215294117647057</v>
      </c>
    </row>
    <row r="124" spans="1:25" x14ac:dyDescent="0.2">
      <c r="A124" s="2" t="s">
        <v>192</v>
      </c>
      <c r="B124" s="3" t="s">
        <v>48</v>
      </c>
      <c r="C124" s="3" t="s">
        <v>127</v>
      </c>
      <c r="D124" s="2" t="s">
        <v>182</v>
      </c>
      <c r="E124" s="4">
        <v>8</v>
      </c>
      <c r="F124" s="5">
        <v>0</v>
      </c>
      <c r="G124" s="5">
        <v>12.76</v>
      </c>
      <c r="H124" s="5">
        <v>12.78</v>
      </c>
      <c r="I124" s="5">
        <v>11.69</v>
      </c>
      <c r="J124" s="5">
        <v>11.66</v>
      </c>
      <c r="K124" s="5">
        <v>12.96</v>
      </c>
      <c r="L124" s="5">
        <v>12.64</v>
      </c>
      <c r="M124" s="6">
        <v>0</v>
      </c>
      <c r="N124" s="5">
        <v>12.64</v>
      </c>
      <c r="O124" s="5">
        <v>12.58</v>
      </c>
      <c r="P124" s="5">
        <v>12.27</v>
      </c>
      <c r="Q124" s="5">
        <v>11.76</v>
      </c>
      <c r="R124" s="5">
        <v>12.44</v>
      </c>
      <c r="S124" s="5">
        <v>11.94</v>
      </c>
      <c r="T124" s="5">
        <v>12.3</v>
      </c>
      <c r="U124" s="5">
        <v>12.12</v>
      </c>
      <c r="V124" s="5">
        <v>11.92</v>
      </c>
      <c r="W124" s="5">
        <v>12.73</v>
      </c>
      <c r="X124" s="7">
        <f t="shared" si="6"/>
        <v>197.19</v>
      </c>
      <c r="Y124" s="5">
        <f t="shared" si="7"/>
        <v>12.324375</v>
      </c>
    </row>
    <row r="125" spans="1:25" x14ac:dyDescent="0.2">
      <c r="A125" s="2" t="s">
        <v>193</v>
      </c>
      <c r="B125" s="3" t="s">
        <v>48</v>
      </c>
      <c r="C125" s="3" t="s">
        <v>66</v>
      </c>
      <c r="D125" s="2" t="s">
        <v>182</v>
      </c>
      <c r="E125" s="4">
        <v>10</v>
      </c>
      <c r="F125" s="5">
        <v>11.23</v>
      </c>
      <c r="G125" s="5">
        <v>10.74</v>
      </c>
      <c r="H125" s="5">
        <v>10.8</v>
      </c>
      <c r="I125" s="5">
        <v>10.35</v>
      </c>
      <c r="J125" s="5">
        <v>10.93</v>
      </c>
      <c r="K125" s="5">
        <v>10.73</v>
      </c>
      <c r="L125" s="5">
        <v>10.98</v>
      </c>
      <c r="M125" s="5">
        <v>11.19</v>
      </c>
      <c r="N125" s="5">
        <v>10.84</v>
      </c>
      <c r="O125" s="6">
        <v>0</v>
      </c>
      <c r="P125" s="5">
        <v>10.130000000000001</v>
      </c>
      <c r="Q125" s="5">
        <v>10.92</v>
      </c>
      <c r="R125" s="5">
        <v>11.04</v>
      </c>
      <c r="S125" s="5">
        <v>10.88</v>
      </c>
      <c r="T125" s="5">
        <v>10.199999999999999</v>
      </c>
      <c r="U125" s="5">
        <v>10.029999999999999</v>
      </c>
      <c r="V125" s="5">
        <v>10.83</v>
      </c>
      <c r="W125" s="5">
        <v>10.79</v>
      </c>
      <c r="X125" s="7">
        <f t="shared" si="6"/>
        <v>182.60999999999999</v>
      </c>
      <c r="Y125" s="5">
        <f t="shared" si="7"/>
        <v>10.741764705882352</v>
      </c>
    </row>
    <row r="126" spans="1:25" x14ac:dyDescent="0.2">
      <c r="A126" s="2" t="s">
        <v>194</v>
      </c>
      <c r="B126" s="3" t="s">
        <v>53</v>
      </c>
      <c r="C126" s="3" t="s">
        <v>37</v>
      </c>
      <c r="D126" s="2" t="s">
        <v>182</v>
      </c>
      <c r="E126" s="4">
        <v>11</v>
      </c>
      <c r="F126" s="5">
        <v>7.04</v>
      </c>
      <c r="G126" s="5">
        <v>8.52</v>
      </c>
      <c r="H126" s="5">
        <v>7.65</v>
      </c>
      <c r="I126" s="5">
        <v>5.56</v>
      </c>
      <c r="J126" s="5">
        <v>9.8000000000000007</v>
      </c>
      <c r="K126" s="5">
        <v>10.15</v>
      </c>
      <c r="L126" s="5">
        <v>5.55</v>
      </c>
      <c r="M126" s="5">
        <v>8.36</v>
      </c>
      <c r="N126" s="5">
        <v>6.51</v>
      </c>
      <c r="O126" s="5">
        <v>6.24</v>
      </c>
      <c r="P126" s="6">
        <v>0</v>
      </c>
      <c r="Q126" s="5">
        <v>8.41</v>
      </c>
      <c r="R126" s="5">
        <v>6.15</v>
      </c>
      <c r="S126" s="5">
        <v>8.5</v>
      </c>
      <c r="T126" s="5">
        <v>6.5</v>
      </c>
      <c r="U126" s="5">
        <v>10.37</v>
      </c>
      <c r="V126" s="5">
        <v>6.93</v>
      </c>
      <c r="W126" s="5">
        <v>9.2799999999999994</v>
      </c>
      <c r="X126" s="7">
        <f t="shared" si="6"/>
        <v>131.52000000000001</v>
      </c>
      <c r="Y126" s="5">
        <f t="shared" si="7"/>
        <v>7.7364705882352949</v>
      </c>
    </row>
    <row r="127" spans="1:25" x14ac:dyDescent="0.2">
      <c r="A127" s="2" t="s">
        <v>195</v>
      </c>
      <c r="B127" s="3" t="s">
        <v>53</v>
      </c>
      <c r="C127" s="3" t="s">
        <v>61</v>
      </c>
      <c r="D127" s="2" t="s">
        <v>182</v>
      </c>
      <c r="E127" s="4">
        <v>6</v>
      </c>
      <c r="F127" s="5">
        <v>6.15</v>
      </c>
      <c r="G127" s="5">
        <v>5.76</v>
      </c>
      <c r="H127" s="5">
        <v>7.01</v>
      </c>
      <c r="I127" s="5">
        <v>8.76</v>
      </c>
      <c r="J127" s="5">
        <v>8.2200000000000006</v>
      </c>
      <c r="K127" s="6">
        <v>0</v>
      </c>
      <c r="L127" s="5">
        <v>8.1999999999999993</v>
      </c>
      <c r="M127" s="5">
        <v>5.41</v>
      </c>
      <c r="N127" s="5">
        <v>5.77</v>
      </c>
      <c r="O127" s="5">
        <v>5.5</v>
      </c>
      <c r="P127" s="5">
        <v>6.08</v>
      </c>
      <c r="Q127" s="5">
        <v>7.14</v>
      </c>
      <c r="R127" s="5">
        <v>8.39</v>
      </c>
      <c r="S127" s="5">
        <v>7.4</v>
      </c>
      <c r="T127" s="5">
        <v>5.82</v>
      </c>
      <c r="U127" s="5">
        <v>7.59</v>
      </c>
      <c r="V127" s="5">
        <v>9.8000000000000007</v>
      </c>
      <c r="W127" s="5">
        <v>5.96</v>
      </c>
      <c r="X127" s="7">
        <f t="shared" si="6"/>
        <v>118.95999999999998</v>
      </c>
      <c r="Y127" s="5">
        <f t="shared" si="7"/>
        <v>6.997647058823528</v>
      </c>
    </row>
    <row r="128" spans="1:25" x14ac:dyDescent="0.2">
      <c r="A128" s="2" t="s">
        <v>196</v>
      </c>
      <c r="B128" s="3" t="s">
        <v>58</v>
      </c>
      <c r="C128" s="3" t="s">
        <v>127</v>
      </c>
      <c r="D128" s="2" t="s">
        <v>182</v>
      </c>
      <c r="E128" s="4">
        <v>8</v>
      </c>
      <c r="F128" s="5">
        <v>8.6999999999999993</v>
      </c>
      <c r="G128" s="5">
        <v>9.86</v>
      </c>
      <c r="H128" s="5">
        <v>9.77</v>
      </c>
      <c r="I128" s="5">
        <v>8.92</v>
      </c>
      <c r="J128" s="5">
        <v>8.4700000000000006</v>
      </c>
      <c r="K128" s="5">
        <v>9.77</v>
      </c>
      <c r="L128" s="5">
        <v>9.23</v>
      </c>
      <c r="M128" s="6">
        <v>0</v>
      </c>
      <c r="N128" s="5">
        <v>9.67</v>
      </c>
      <c r="O128" s="5">
        <v>8.9499999999999993</v>
      </c>
      <c r="P128" s="5">
        <v>9.17</v>
      </c>
      <c r="Q128" s="5">
        <v>8.92</v>
      </c>
      <c r="R128" s="5">
        <v>9.0399999999999991</v>
      </c>
      <c r="S128" s="5">
        <v>8.92</v>
      </c>
      <c r="T128" s="5">
        <v>8.85</v>
      </c>
      <c r="U128" s="5">
        <v>8.76</v>
      </c>
      <c r="V128" s="5">
        <v>9.01</v>
      </c>
      <c r="W128" s="5">
        <v>9.32</v>
      </c>
      <c r="X128" s="7">
        <f t="shared" si="6"/>
        <v>155.32999999999998</v>
      </c>
      <c r="Y128" s="5">
        <f t="shared" si="7"/>
        <v>9.1370588235294115</v>
      </c>
    </row>
    <row r="129" spans="1:25" x14ac:dyDescent="0.2">
      <c r="A129" s="2" t="s">
        <v>197</v>
      </c>
      <c r="B129" s="3" t="s">
        <v>58</v>
      </c>
      <c r="C129" s="3" t="s">
        <v>97</v>
      </c>
      <c r="D129" s="2" t="s">
        <v>182</v>
      </c>
      <c r="E129" s="4">
        <v>13</v>
      </c>
      <c r="F129" s="5">
        <v>8.1</v>
      </c>
      <c r="G129" s="5">
        <v>7.16</v>
      </c>
      <c r="H129" s="5">
        <v>7.25</v>
      </c>
      <c r="I129" s="5">
        <v>7.48</v>
      </c>
      <c r="J129" s="5">
        <v>7.07</v>
      </c>
      <c r="K129" s="5">
        <v>7.92</v>
      </c>
      <c r="L129" s="5">
        <v>7.22</v>
      </c>
      <c r="M129" s="5">
        <v>7.25</v>
      </c>
      <c r="N129" s="5">
        <v>7.25</v>
      </c>
      <c r="O129" s="5">
        <v>7.22</v>
      </c>
      <c r="P129" s="5">
        <v>6.81</v>
      </c>
      <c r="Q129" s="5">
        <v>7.07</v>
      </c>
      <c r="R129" s="6">
        <v>0</v>
      </c>
      <c r="S129" s="5">
        <v>7.57</v>
      </c>
      <c r="T129" s="5">
        <v>7.22</v>
      </c>
      <c r="U129" s="5">
        <v>7.84</v>
      </c>
      <c r="V129" s="5">
        <v>7.6</v>
      </c>
      <c r="W129" s="5">
        <v>7.07</v>
      </c>
      <c r="X129" s="7">
        <f t="shared" si="6"/>
        <v>125.1</v>
      </c>
      <c r="Y129" s="5">
        <f t="shared" si="7"/>
        <v>7.3588235294117643</v>
      </c>
    </row>
    <row r="130" spans="1:25" x14ac:dyDescent="0.2">
      <c r="A130" s="2" t="s">
        <v>198</v>
      </c>
      <c r="B130" s="3" t="s">
        <v>26</v>
      </c>
      <c r="C130" s="3" t="s">
        <v>66</v>
      </c>
      <c r="D130" s="2" t="s">
        <v>199</v>
      </c>
      <c r="E130" s="4">
        <v>10</v>
      </c>
      <c r="F130" s="5">
        <v>24.1</v>
      </c>
      <c r="G130" s="5">
        <v>21.96</v>
      </c>
      <c r="H130" s="5">
        <v>21</v>
      </c>
      <c r="I130" s="5">
        <v>18.84</v>
      </c>
      <c r="J130" s="5">
        <v>21.98</v>
      </c>
      <c r="K130" s="5">
        <v>22.71</v>
      </c>
      <c r="L130" s="5">
        <v>22.25</v>
      </c>
      <c r="M130" s="5">
        <v>23.03</v>
      </c>
      <c r="N130" s="5">
        <v>22.66</v>
      </c>
      <c r="O130" s="6">
        <v>0</v>
      </c>
      <c r="P130" s="5">
        <v>19.260000000000002</v>
      </c>
      <c r="Q130" s="5">
        <v>21.17</v>
      </c>
      <c r="R130" s="5">
        <v>22.9</v>
      </c>
      <c r="S130" s="5">
        <v>22.63</v>
      </c>
      <c r="T130" s="5">
        <v>18.68</v>
      </c>
      <c r="U130" s="5">
        <v>18.72</v>
      </c>
      <c r="V130" s="5">
        <v>21.19</v>
      </c>
      <c r="W130" s="5">
        <v>21.58</v>
      </c>
      <c r="X130" s="7">
        <f t="shared" ref="X130:X161" si="8">SUM(F130:W130)</f>
        <v>364.65999999999997</v>
      </c>
      <c r="Y130" s="5">
        <f t="shared" ref="Y130:Y161" si="9">IFERROR(AVERAGEIF(F130:W130,"&gt;0"),0)</f>
        <v>21.450588235294116</v>
      </c>
    </row>
    <row r="131" spans="1:25" x14ac:dyDescent="0.2">
      <c r="A131" s="2" t="s">
        <v>200</v>
      </c>
      <c r="B131" s="3" t="s">
        <v>26</v>
      </c>
      <c r="C131" s="3" t="s">
        <v>76</v>
      </c>
      <c r="D131" s="2" t="s">
        <v>199</v>
      </c>
      <c r="E131" s="4">
        <v>6</v>
      </c>
      <c r="F131" s="5">
        <v>19.3</v>
      </c>
      <c r="G131" s="5">
        <v>19.71</v>
      </c>
      <c r="H131" s="5">
        <v>19.37</v>
      </c>
      <c r="I131" s="5">
        <v>18.89</v>
      </c>
      <c r="J131" s="5">
        <v>19.86</v>
      </c>
      <c r="K131" s="6">
        <v>0</v>
      </c>
      <c r="L131" s="5">
        <v>18.98</v>
      </c>
      <c r="M131" s="5">
        <v>19.41</v>
      </c>
      <c r="N131" s="5">
        <v>20.309999999999999</v>
      </c>
      <c r="O131" s="5">
        <v>18.09</v>
      </c>
      <c r="P131" s="5">
        <v>18.89</v>
      </c>
      <c r="Q131" s="5">
        <v>19.239999999999998</v>
      </c>
      <c r="R131" s="5">
        <v>19.54</v>
      </c>
      <c r="S131" s="5">
        <v>19.96</v>
      </c>
      <c r="T131" s="5">
        <v>18.55</v>
      </c>
      <c r="U131" s="5">
        <v>19.7</v>
      </c>
      <c r="V131" s="5">
        <v>18.39</v>
      </c>
      <c r="W131" s="5">
        <v>18.12</v>
      </c>
      <c r="X131" s="7">
        <f t="shared" si="8"/>
        <v>326.31</v>
      </c>
      <c r="Y131" s="5">
        <f t="shared" si="9"/>
        <v>19.194705882352942</v>
      </c>
    </row>
    <row r="132" spans="1:25" x14ac:dyDescent="0.2">
      <c r="A132" s="2" t="s">
        <v>201</v>
      </c>
      <c r="B132" s="3" t="s">
        <v>32</v>
      </c>
      <c r="C132" s="3" t="s">
        <v>109</v>
      </c>
      <c r="D132" s="2" t="s">
        <v>199</v>
      </c>
      <c r="E132" s="4">
        <v>13</v>
      </c>
      <c r="F132" s="5">
        <v>19.39</v>
      </c>
      <c r="G132" s="5">
        <v>19</v>
      </c>
      <c r="H132" s="5">
        <v>18.850000000000001</v>
      </c>
      <c r="I132" s="5">
        <v>22.42</v>
      </c>
      <c r="J132" s="5">
        <v>18.43</v>
      </c>
      <c r="K132" s="5">
        <v>22.54</v>
      </c>
      <c r="L132" s="5">
        <v>20.260000000000002</v>
      </c>
      <c r="M132" s="5">
        <v>20.38</v>
      </c>
      <c r="N132" s="5">
        <v>20.63</v>
      </c>
      <c r="O132" s="5">
        <v>24.31</v>
      </c>
      <c r="P132" s="5">
        <v>17.899999999999999</v>
      </c>
      <c r="Q132" s="5">
        <v>21.63</v>
      </c>
      <c r="R132" s="6">
        <v>0</v>
      </c>
      <c r="S132" s="5">
        <v>18.11</v>
      </c>
      <c r="T132" s="5">
        <v>21.49</v>
      </c>
      <c r="U132" s="5">
        <v>21.72</v>
      </c>
      <c r="V132" s="5">
        <v>19.690000000000001</v>
      </c>
      <c r="W132" s="5">
        <v>21.38</v>
      </c>
      <c r="X132" s="7">
        <f t="shared" si="8"/>
        <v>348.12999999999994</v>
      </c>
      <c r="Y132" s="5">
        <f t="shared" si="9"/>
        <v>20.478235294117642</v>
      </c>
    </row>
    <row r="133" spans="1:25" x14ac:dyDescent="0.2">
      <c r="A133" s="2" t="s">
        <v>202</v>
      </c>
      <c r="B133" s="3" t="s">
        <v>32</v>
      </c>
      <c r="C133" s="3" t="s">
        <v>203</v>
      </c>
      <c r="D133" s="2" t="s">
        <v>199</v>
      </c>
      <c r="E133" s="4">
        <v>6</v>
      </c>
      <c r="F133" s="5">
        <v>19.989999999999998</v>
      </c>
      <c r="G133" s="5">
        <v>18.440000000000001</v>
      </c>
      <c r="H133" s="5">
        <v>18.38</v>
      </c>
      <c r="I133" s="5">
        <v>18.63</v>
      </c>
      <c r="J133" s="5">
        <v>19.88</v>
      </c>
      <c r="K133" s="6">
        <v>0</v>
      </c>
      <c r="L133" s="5">
        <v>18.690000000000001</v>
      </c>
      <c r="M133" s="5">
        <v>18.38</v>
      </c>
      <c r="N133" s="5">
        <v>18.3</v>
      </c>
      <c r="O133" s="5">
        <v>18.940000000000001</v>
      </c>
      <c r="P133" s="5">
        <v>19.39</v>
      </c>
      <c r="Q133" s="5">
        <v>19.43</v>
      </c>
      <c r="R133" s="5">
        <v>16.48</v>
      </c>
      <c r="S133" s="5">
        <v>19.18</v>
      </c>
      <c r="T133" s="5">
        <v>18.04</v>
      </c>
      <c r="U133" s="5">
        <v>18.73</v>
      </c>
      <c r="V133" s="5">
        <v>20.11</v>
      </c>
      <c r="W133" s="5">
        <v>17.670000000000002</v>
      </c>
      <c r="X133" s="7">
        <f t="shared" si="8"/>
        <v>318.66000000000003</v>
      </c>
      <c r="Y133" s="5">
        <f t="shared" si="9"/>
        <v>18.744705882352942</v>
      </c>
    </row>
    <row r="134" spans="1:25" x14ac:dyDescent="0.2">
      <c r="A134" s="2" t="s">
        <v>204</v>
      </c>
      <c r="B134" s="3" t="s">
        <v>32</v>
      </c>
      <c r="C134" s="3" t="s">
        <v>120</v>
      </c>
      <c r="D134" s="2" t="s">
        <v>199</v>
      </c>
      <c r="E134" s="4">
        <v>11</v>
      </c>
      <c r="F134" s="5">
        <v>14.35</v>
      </c>
      <c r="G134" s="5">
        <v>13.65</v>
      </c>
      <c r="H134" s="5">
        <v>15.59</v>
      </c>
      <c r="I134" s="5">
        <v>13.44</v>
      </c>
      <c r="J134" s="5">
        <v>14.28</v>
      </c>
      <c r="K134" s="5">
        <v>13.49</v>
      </c>
      <c r="L134" s="5">
        <v>15.56</v>
      </c>
      <c r="M134" s="5">
        <v>12.9</v>
      </c>
      <c r="N134" s="5">
        <v>14.58</v>
      </c>
      <c r="O134" s="5">
        <v>13.26</v>
      </c>
      <c r="P134" s="6">
        <v>0</v>
      </c>
      <c r="Q134" s="5">
        <v>16.84</v>
      </c>
      <c r="R134" s="5">
        <v>15.84</v>
      </c>
      <c r="S134" s="5">
        <v>16.73</v>
      </c>
      <c r="T134" s="5">
        <v>14.84</v>
      </c>
      <c r="U134" s="5">
        <v>12.97</v>
      </c>
      <c r="V134" s="5">
        <v>15.68</v>
      </c>
      <c r="W134" s="5">
        <v>14.98</v>
      </c>
      <c r="X134" s="7">
        <f t="shared" si="8"/>
        <v>248.98</v>
      </c>
      <c r="Y134" s="5">
        <f t="shared" si="9"/>
        <v>14.645882352941175</v>
      </c>
    </row>
    <row r="135" spans="1:25" x14ac:dyDescent="0.2">
      <c r="A135" s="2" t="s">
        <v>205</v>
      </c>
      <c r="B135" s="3" t="s">
        <v>32</v>
      </c>
      <c r="C135" s="3" t="s">
        <v>78</v>
      </c>
      <c r="D135" s="2" t="s">
        <v>199</v>
      </c>
      <c r="E135" s="4">
        <v>8</v>
      </c>
      <c r="F135" s="5">
        <v>14.49</v>
      </c>
      <c r="G135" s="5">
        <v>12.3</v>
      </c>
      <c r="H135" s="5">
        <v>15.6</v>
      </c>
      <c r="I135" s="5">
        <v>16.25</v>
      </c>
      <c r="J135" s="5">
        <v>15.34</v>
      </c>
      <c r="K135" s="5">
        <v>14.86</v>
      </c>
      <c r="L135" s="5">
        <v>12.62</v>
      </c>
      <c r="M135" s="6">
        <v>0</v>
      </c>
      <c r="N135" s="5">
        <v>12.82</v>
      </c>
      <c r="O135" s="5">
        <v>15.96</v>
      </c>
      <c r="P135" s="5">
        <v>14.94</v>
      </c>
      <c r="Q135" s="5">
        <v>14.45</v>
      </c>
      <c r="R135" s="5">
        <v>14.59</v>
      </c>
      <c r="S135" s="5">
        <v>12.46</v>
      </c>
      <c r="T135" s="5">
        <v>14.36</v>
      </c>
      <c r="U135" s="5">
        <v>13.36</v>
      </c>
      <c r="V135" s="5">
        <v>13.91</v>
      </c>
      <c r="W135" s="5">
        <v>13.38</v>
      </c>
      <c r="X135" s="7">
        <f t="shared" si="8"/>
        <v>241.69000000000003</v>
      </c>
      <c r="Y135" s="5">
        <f t="shared" si="9"/>
        <v>14.217058823529413</v>
      </c>
    </row>
    <row r="136" spans="1:25" x14ac:dyDescent="0.2">
      <c r="A136" s="2" t="s">
        <v>206</v>
      </c>
      <c r="B136" s="3" t="s">
        <v>41</v>
      </c>
      <c r="C136" s="3" t="s">
        <v>112</v>
      </c>
      <c r="D136" s="2" t="s">
        <v>199</v>
      </c>
      <c r="E136" s="4">
        <v>5</v>
      </c>
      <c r="F136" s="5">
        <v>15.28</v>
      </c>
      <c r="G136" s="5">
        <v>16.59</v>
      </c>
      <c r="H136" s="5">
        <v>16.87</v>
      </c>
      <c r="I136" s="5">
        <v>16.62</v>
      </c>
      <c r="J136" s="6">
        <v>0</v>
      </c>
      <c r="K136" s="5">
        <v>16.29</v>
      </c>
      <c r="L136" s="5">
        <v>15.16</v>
      </c>
      <c r="M136" s="5">
        <v>15.08</v>
      </c>
      <c r="N136" s="5">
        <v>16.21</v>
      </c>
      <c r="O136" s="5">
        <v>16.670000000000002</v>
      </c>
      <c r="P136" s="5">
        <v>16.989999999999998</v>
      </c>
      <c r="Q136" s="5">
        <v>17.2</v>
      </c>
      <c r="R136" s="5">
        <v>15.36</v>
      </c>
      <c r="S136" s="5">
        <v>16.88</v>
      </c>
      <c r="T136" s="5">
        <v>16</v>
      </c>
      <c r="U136" s="5">
        <v>16.55</v>
      </c>
      <c r="V136" s="5">
        <v>16.100000000000001</v>
      </c>
      <c r="W136" s="5">
        <v>16.77</v>
      </c>
      <c r="X136" s="7">
        <f t="shared" si="8"/>
        <v>276.62</v>
      </c>
      <c r="Y136" s="5">
        <f t="shared" si="9"/>
        <v>16.271764705882354</v>
      </c>
    </row>
    <row r="137" spans="1:25" x14ac:dyDescent="0.2">
      <c r="A137" s="2" t="s">
        <v>207</v>
      </c>
      <c r="B137" s="3" t="s">
        <v>41</v>
      </c>
      <c r="C137" s="3" t="s">
        <v>51</v>
      </c>
      <c r="D137" s="2" t="s">
        <v>199</v>
      </c>
      <c r="E137" s="4">
        <v>8</v>
      </c>
      <c r="F137" s="5">
        <v>16.11</v>
      </c>
      <c r="G137" s="5">
        <v>15.86</v>
      </c>
      <c r="H137" s="5">
        <v>17.05</v>
      </c>
      <c r="I137" s="5">
        <v>17.14</v>
      </c>
      <c r="J137" s="5">
        <v>16.489999999999998</v>
      </c>
      <c r="K137" s="5">
        <v>16.62</v>
      </c>
      <c r="L137" s="5">
        <v>15.39</v>
      </c>
      <c r="M137" s="6">
        <v>0</v>
      </c>
      <c r="N137" s="5">
        <v>14.8</v>
      </c>
      <c r="O137" s="5">
        <v>15.67</v>
      </c>
      <c r="P137" s="5">
        <v>15.59</v>
      </c>
      <c r="Q137" s="5">
        <v>16.190000000000001</v>
      </c>
      <c r="R137" s="5">
        <v>15.48</v>
      </c>
      <c r="S137" s="5">
        <v>15.5</v>
      </c>
      <c r="T137" s="5">
        <v>15.2</v>
      </c>
      <c r="U137" s="5">
        <v>16.29</v>
      </c>
      <c r="V137" s="5">
        <v>15.96</v>
      </c>
      <c r="W137" s="5">
        <v>15.39</v>
      </c>
      <c r="X137" s="7">
        <f t="shared" si="8"/>
        <v>270.72999999999996</v>
      </c>
      <c r="Y137" s="5">
        <f t="shared" si="9"/>
        <v>15.925294117647056</v>
      </c>
    </row>
    <row r="138" spans="1:25" x14ac:dyDescent="0.2">
      <c r="A138" s="2" t="s">
        <v>208</v>
      </c>
      <c r="B138" s="3" t="s">
        <v>41</v>
      </c>
      <c r="C138" s="3" t="s">
        <v>76</v>
      </c>
      <c r="D138" s="2" t="s">
        <v>199</v>
      </c>
      <c r="E138" s="4">
        <v>6</v>
      </c>
      <c r="F138" s="5">
        <v>12.94</v>
      </c>
      <c r="G138" s="5">
        <v>13.73</v>
      </c>
      <c r="H138" s="5">
        <v>12.94</v>
      </c>
      <c r="I138" s="5">
        <v>12.96</v>
      </c>
      <c r="J138" s="5">
        <v>13.4</v>
      </c>
      <c r="K138" s="6">
        <v>0</v>
      </c>
      <c r="L138" s="5">
        <v>12.96</v>
      </c>
      <c r="M138" s="5">
        <v>12.97</v>
      </c>
      <c r="N138" s="5">
        <v>13.4</v>
      </c>
      <c r="O138" s="5">
        <v>12.75</v>
      </c>
      <c r="P138" s="5">
        <v>12.89</v>
      </c>
      <c r="Q138" s="5">
        <v>13.17</v>
      </c>
      <c r="R138" s="5">
        <v>13.29</v>
      </c>
      <c r="S138" s="5">
        <v>13.13</v>
      </c>
      <c r="T138" s="5">
        <v>12.85</v>
      </c>
      <c r="U138" s="5">
        <v>13.19</v>
      </c>
      <c r="V138" s="5">
        <v>13.04</v>
      </c>
      <c r="W138" s="5">
        <v>12.82</v>
      </c>
      <c r="X138" s="7">
        <f t="shared" si="8"/>
        <v>222.42999999999995</v>
      </c>
      <c r="Y138" s="5">
        <f t="shared" si="9"/>
        <v>13.08411764705882</v>
      </c>
    </row>
    <row r="139" spans="1:25" x14ac:dyDescent="0.2">
      <c r="A139" s="2" t="s">
        <v>209</v>
      </c>
      <c r="B139" s="3" t="s">
        <v>41</v>
      </c>
      <c r="C139" s="3" t="s">
        <v>46</v>
      </c>
      <c r="D139" s="2" t="s">
        <v>199</v>
      </c>
      <c r="E139" s="4">
        <v>11</v>
      </c>
      <c r="F139" s="5">
        <v>11.31</v>
      </c>
      <c r="G139" s="5">
        <v>11.29</v>
      </c>
      <c r="H139" s="5">
        <v>11.83</v>
      </c>
      <c r="I139" s="5">
        <v>11.23</v>
      </c>
      <c r="J139" s="5">
        <v>11.59</v>
      </c>
      <c r="K139" s="5">
        <v>11.73</v>
      </c>
      <c r="L139" s="5">
        <v>11.23</v>
      </c>
      <c r="M139" s="5">
        <v>11.52</v>
      </c>
      <c r="N139" s="5">
        <v>11.15</v>
      </c>
      <c r="O139" s="5">
        <v>11.43</v>
      </c>
      <c r="P139" s="6">
        <v>0</v>
      </c>
      <c r="Q139" s="5">
        <v>10.85</v>
      </c>
      <c r="R139" s="5">
        <v>11.29</v>
      </c>
      <c r="S139" s="5">
        <v>12.21</v>
      </c>
      <c r="T139" s="5">
        <v>11.92</v>
      </c>
      <c r="U139" s="5">
        <v>11.47</v>
      </c>
      <c r="V139" s="5">
        <v>10.69</v>
      </c>
      <c r="W139" s="5">
        <v>11.36</v>
      </c>
      <c r="X139" s="7">
        <f t="shared" si="8"/>
        <v>194.09999999999997</v>
      </c>
      <c r="Y139" s="5">
        <f t="shared" si="9"/>
        <v>11.417647058823528</v>
      </c>
    </row>
    <row r="140" spans="1:25" x14ac:dyDescent="0.2">
      <c r="A140" s="2" t="s">
        <v>210</v>
      </c>
      <c r="B140" s="3" t="s">
        <v>48</v>
      </c>
      <c r="C140" s="3" t="s">
        <v>131</v>
      </c>
      <c r="D140" s="2" t="s">
        <v>199</v>
      </c>
      <c r="E140" s="4">
        <v>11</v>
      </c>
      <c r="F140" s="5">
        <v>10.9</v>
      </c>
      <c r="G140" s="5">
        <v>11.75</v>
      </c>
      <c r="H140" s="5">
        <v>11.57</v>
      </c>
      <c r="I140" s="5">
        <v>11.54</v>
      </c>
      <c r="J140" s="5">
        <v>11.38</v>
      </c>
      <c r="K140" s="5">
        <v>11.84</v>
      </c>
      <c r="L140" s="5">
        <v>11.89</v>
      </c>
      <c r="M140" s="5">
        <v>11.48</v>
      </c>
      <c r="N140" s="5">
        <v>12.22</v>
      </c>
      <c r="O140" s="5">
        <v>11.07</v>
      </c>
      <c r="P140" s="6">
        <v>0</v>
      </c>
      <c r="Q140" s="5">
        <v>11.12</v>
      </c>
      <c r="R140" s="5">
        <v>11.14</v>
      </c>
      <c r="S140" s="5">
        <v>10.62</v>
      </c>
      <c r="T140" s="5">
        <v>11.83</v>
      </c>
      <c r="U140" s="5">
        <v>11.12</v>
      </c>
      <c r="V140" s="5">
        <v>11.19</v>
      </c>
      <c r="W140" s="5">
        <v>11.23</v>
      </c>
      <c r="X140" s="7">
        <f t="shared" si="8"/>
        <v>193.89000000000004</v>
      </c>
      <c r="Y140" s="5">
        <f t="shared" si="9"/>
        <v>11.405294117647061</v>
      </c>
    </row>
    <row r="141" spans="1:25" x14ac:dyDescent="0.2">
      <c r="A141" s="2" t="s">
        <v>211</v>
      </c>
      <c r="B141" s="3" t="s">
        <v>48</v>
      </c>
      <c r="C141" s="3" t="s">
        <v>33</v>
      </c>
      <c r="D141" s="2" t="s">
        <v>199</v>
      </c>
      <c r="E141" s="4">
        <v>13</v>
      </c>
      <c r="F141" s="5">
        <v>10.32</v>
      </c>
      <c r="G141" s="5">
        <v>10.18</v>
      </c>
      <c r="H141" s="5">
        <v>10.41</v>
      </c>
      <c r="I141" s="5">
        <v>10.35</v>
      </c>
      <c r="J141" s="5">
        <v>10.49</v>
      </c>
      <c r="K141" s="5">
        <v>9.68</v>
      </c>
      <c r="L141" s="5">
        <v>10.7</v>
      </c>
      <c r="M141" s="5">
        <v>10.8</v>
      </c>
      <c r="N141" s="5">
        <v>10.47</v>
      </c>
      <c r="O141" s="5">
        <v>10.220000000000001</v>
      </c>
      <c r="P141" s="5">
        <v>10.199999999999999</v>
      </c>
      <c r="Q141" s="5">
        <v>9.4</v>
      </c>
      <c r="R141" s="6">
        <v>0</v>
      </c>
      <c r="S141" s="5">
        <v>10.119999999999999</v>
      </c>
      <c r="T141" s="5">
        <v>9.52</v>
      </c>
      <c r="U141" s="5">
        <v>9.77</v>
      </c>
      <c r="V141" s="5">
        <v>10.6</v>
      </c>
      <c r="W141" s="5">
        <v>9.6199999999999992</v>
      </c>
      <c r="X141" s="7">
        <f t="shared" si="8"/>
        <v>172.85000000000002</v>
      </c>
      <c r="Y141" s="5">
        <f t="shared" si="9"/>
        <v>10.167647058823531</v>
      </c>
    </row>
    <row r="142" spans="1:25" x14ac:dyDescent="0.2">
      <c r="A142" s="2" t="s">
        <v>212</v>
      </c>
      <c r="B142" s="3" t="s">
        <v>53</v>
      </c>
      <c r="C142" s="3" t="s">
        <v>33</v>
      </c>
      <c r="D142" s="2" t="s">
        <v>199</v>
      </c>
      <c r="E142" s="4">
        <v>13</v>
      </c>
      <c r="F142" s="5">
        <v>9.56</v>
      </c>
      <c r="G142" s="5">
        <v>9.58</v>
      </c>
      <c r="H142" s="5">
        <v>6.85</v>
      </c>
      <c r="I142" s="5">
        <v>10.02</v>
      </c>
      <c r="J142" s="5">
        <v>8.65</v>
      </c>
      <c r="K142" s="5">
        <v>10.66</v>
      </c>
      <c r="L142" s="5">
        <v>8.1300000000000008</v>
      </c>
      <c r="M142" s="5">
        <v>6.18</v>
      </c>
      <c r="N142" s="5">
        <v>8.58</v>
      </c>
      <c r="O142" s="5">
        <v>9.1199999999999992</v>
      </c>
      <c r="P142" s="5">
        <v>8.27</v>
      </c>
      <c r="Q142" s="5">
        <v>9.1300000000000008</v>
      </c>
      <c r="R142" s="6">
        <v>0</v>
      </c>
      <c r="S142" s="5">
        <v>8.8800000000000008</v>
      </c>
      <c r="T142" s="5">
        <v>9.3699999999999992</v>
      </c>
      <c r="U142" s="5">
        <v>10.65</v>
      </c>
      <c r="V142" s="5">
        <v>7.8</v>
      </c>
      <c r="W142" s="5">
        <v>9.51</v>
      </c>
      <c r="X142" s="7">
        <f t="shared" si="8"/>
        <v>150.94</v>
      </c>
      <c r="Y142" s="5">
        <f t="shared" si="9"/>
        <v>8.8788235294117648</v>
      </c>
    </row>
    <row r="143" spans="1:25" x14ac:dyDescent="0.2">
      <c r="A143" s="2" t="s">
        <v>213</v>
      </c>
      <c r="B143" s="3" t="s">
        <v>53</v>
      </c>
      <c r="C143" s="3" t="s">
        <v>76</v>
      </c>
      <c r="D143" s="2" t="s">
        <v>199</v>
      </c>
      <c r="E143" s="4">
        <v>6</v>
      </c>
      <c r="F143" s="5">
        <v>9.9499999999999993</v>
      </c>
      <c r="G143" s="5">
        <v>6.04</v>
      </c>
      <c r="H143" s="5">
        <v>10.94</v>
      </c>
      <c r="I143" s="5">
        <v>8.86</v>
      </c>
      <c r="J143" s="5">
        <v>9.5</v>
      </c>
      <c r="K143" s="6">
        <v>0</v>
      </c>
      <c r="L143" s="5">
        <v>6.47</v>
      </c>
      <c r="M143" s="5">
        <v>8.5399999999999991</v>
      </c>
      <c r="N143" s="5">
        <v>8.75</v>
      </c>
      <c r="O143" s="5">
        <v>8.48</v>
      </c>
      <c r="P143" s="5">
        <v>7.9</v>
      </c>
      <c r="Q143" s="5">
        <v>6.97</v>
      </c>
      <c r="R143" s="5">
        <v>7.04</v>
      </c>
      <c r="S143" s="5">
        <v>9.6999999999999993</v>
      </c>
      <c r="T143" s="5">
        <v>8.5299999999999994</v>
      </c>
      <c r="U143" s="5">
        <v>9.09</v>
      </c>
      <c r="V143" s="5">
        <v>5.94</v>
      </c>
      <c r="W143" s="5">
        <v>6.29</v>
      </c>
      <c r="X143" s="7">
        <f t="shared" si="8"/>
        <v>138.99</v>
      </c>
      <c r="Y143" s="5">
        <f t="shared" si="9"/>
        <v>8.1758823529411764</v>
      </c>
    </row>
    <row r="144" spans="1:25" x14ac:dyDescent="0.2">
      <c r="A144" s="2" t="s">
        <v>214</v>
      </c>
      <c r="B144" s="3" t="s">
        <v>58</v>
      </c>
      <c r="C144" s="3" t="s">
        <v>30</v>
      </c>
      <c r="D144" s="2" t="s">
        <v>199</v>
      </c>
      <c r="E144" s="4">
        <v>7</v>
      </c>
      <c r="F144" s="5">
        <v>10.26</v>
      </c>
      <c r="G144" s="5">
        <v>10.16</v>
      </c>
      <c r="H144" s="5">
        <v>9.6999999999999993</v>
      </c>
      <c r="I144" s="5">
        <v>8.91</v>
      </c>
      <c r="J144" s="5">
        <v>9.3699999999999992</v>
      </c>
      <c r="K144" s="5">
        <v>9.2100000000000009</v>
      </c>
      <c r="L144" s="6">
        <v>0</v>
      </c>
      <c r="M144" s="5">
        <v>8.91</v>
      </c>
      <c r="N144" s="5">
        <v>9.3699999999999992</v>
      </c>
      <c r="O144" s="5">
        <v>9.11</v>
      </c>
      <c r="P144" s="5">
        <v>9.86</v>
      </c>
      <c r="Q144" s="5">
        <v>9.67</v>
      </c>
      <c r="R144" s="5">
        <v>9.31</v>
      </c>
      <c r="S144" s="5">
        <v>9.6999999999999993</v>
      </c>
      <c r="T144" s="5">
        <v>9.8699999999999992</v>
      </c>
      <c r="U144" s="5">
        <v>9.9</v>
      </c>
      <c r="V144" s="5">
        <v>9.67</v>
      </c>
      <c r="W144" s="5">
        <v>8.91</v>
      </c>
      <c r="X144" s="7">
        <f t="shared" si="8"/>
        <v>161.88999999999999</v>
      </c>
      <c r="Y144" s="5">
        <f t="shared" si="9"/>
        <v>9.5229411764705869</v>
      </c>
    </row>
    <row r="145" spans="1:25" x14ac:dyDescent="0.2">
      <c r="A145" s="2" t="s">
        <v>215</v>
      </c>
      <c r="B145" s="3" t="s">
        <v>58</v>
      </c>
      <c r="C145" s="3" t="s">
        <v>102</v>
      </c>
      <c r="D145" s="2" t="s">
        <v>199</v>
      </c>
      <c r="E145" s="4">
        <v>10</v>
      </c>
      <c r="F145" s="5">
        <v>8.3800000000000008</v>
      </c>
      <c r="G145" s="5">
        <v>8.7200000000000006</v>
      </c>
      <c r="H145" s="5">
        <v>8.36</v>
      </c>
      <c r="I145" s="5">
        <v>8.7200000000000006</v>
      </c>
      <c r="J145" s="5">
        <v>8.1999999999999993</v>
      </c>
      <c r="K145" s="5">
        <v>8.57</v>
      </c>
      <c r="L145" s="5">
        <v>8.5399999999999991</v>
      </c>
      <c r="M145" s="5">
        <v>7.84</v>
      </c>
      <c r="N145" s="5">
        <v>8.6300000000000008</v>
      </c>
      <c r="O145" s="6">
        <v>0</v>
      </c>
      <c r="P145" s="5">
        <v>8.73</v>
      </c>
      <c r="Q145" s="5">
        <v>8.11</v>
      </c>
      <c r="R145" s="5">
        <v>8.82</v>
      </c>
      <c r="S145" s="5">
        <v>8.75</v>
      </c>
      <c r="T145" s="5">
        <v>8.57</v>
      </c>
      <c r="U145" s="5">
        <v>8.6300000000000008</v>
      </c>
      <c r="V145" s="5">
        <v>8.5399999999999991</v>
      </c>
      <c r="W145" s="5">
        <v>8.2899999999999991</v>
      </c>
      <c r="X145" s="7">
        <f t="shared" si="8"/>
        <v>144.39999999999998</v>
      </c>
      <c r="Y145" s="5">
        <f t="shared" si="9"/>
        <v>8.4941176470588218</v>
      </c>
    </row>
    <row r="146" spans="1:25" x14ac:dyDescent="0.2">
      <c r="A146" s="2" t="s">
        <v>216</v>
      </c>
      <c r="B146" s="3" t="s">
        <v>26</v>
      </c>
      <c r="C146" s="3" t="s">
        <v>33</v>
      </c>
      <c r="D146" s="2" t="s">
        <v>217</v>
      </c>
      <c r="E146" s="4">
        <v>13</v>
      </c>
      <c r="F146" s="5">
        <v>22.08</v>
      </c>
      <c r="G146" s="5">
        <v>22.62</v>
      </c>
      <c r="H146" s="5">
        <v>22.19</v>
      </c>
      <c r="I146" s="5">
        <v>23.42</v>
      </c>
      <c r="J146" s="5">
        <v>22.94</v>
      </c>
      <c r="K146" s="5">
        <v>20.8</v>
      </c>
      <c r="L146" s="5">
        <v>23.49</v>
      </c>
      <c r="M146" s="5">
        <v>23.02</v>
      </c>
      <c r="N146" s="5">
        <v>22.91</v>
      </c>
      <c r="O146" s="5">
        <v>22.13</v>
      </c>
      <c r="P146" s="5">
        <v>22.17</v>
      </c>
      <c r="Q146" s="5">
        <v>19.399999999999999</v>
      </c>
      <c r="R146" s="6">
        <v>0</v>
      </c>
      <c r="S146" s="5">
        <v>22.13</v>
      </c>
      <c r="T146" s="5">
        <v>19.899999999999999</v>
      </c>
      <c r="U146" s="5">
        <v>21.77</v>
      </c>
      <c r="V146" s="5">
        <v>22.52</v>
      </c>
      <c r="W146" s="5">
        <v>20.87</v>
      </c>
      <c r="X146" s="7">
        <f t="shared" si="8"/>
        <v>374.35999999999996</v>
      </c>
      <c r="Y146" s="5">
        <f t="shared" si="9"/>
        <v>22.021176470588234</v>
      </c>
    </row>
    <row r="147" spans="1:25" x14ac:dyDescent="0.2">
      <c r="A147" s="2" t="s">
        <v>218</v>
      </c>
      <c r="B147" s="3" t="s">
        <v>26</v>
      </c>
      <c r="C147" s="3" t="s">
        <v>61</v>
      </c>
      <c r="D147" s="2" t="s">
        <v>217</v>
      </c>
      <c r="E147" s="4">
        <v>6</v>
      </c>
      <c r="F147" s="5">
        <v>19.239999999999998</v>
      </c>
      <c r="G147" s="5">
        <v>18.5</v>
      </c>
      <c r="H147" s="5">
        <v>18.09</v>
      </c>
      <c r="I147" s="5">
        <v>21.98</v>
      </c>
      <c r="J147" s="5">
        <v>18.61</v>
      </c>
      <c r="K147" s="6">
        <v>0</v>
      </c>
      <c r="L147" s="5">
        <v>20.11</v>
      </c>
      <c r="M147" s="5">
        <v>17.61</v>
      </c>
      <c r="N147" s="5">
        <v>21.12</v>
      </c>
      <c r="O147" s="5">
        <v>18.170000000000002</v>
      </c>
      <c r="P147" s="5">
        <v>19.23</v>
      </c>
      <c r="Q147" s="5">
        <v>21.02</v>
      </c>
      <c r="R147" s="5">
        <v>20.21</v>
      </c>
      <c r="S147" s="5">
        <v>17.62</v>
      </c>
      <c r="T147" s="5">
        <v>18.690000000000001</v>
      </c>
      <c r="U147" s="5">
        <v>21.55</v>
      </c>
      <c r="V147" s="5">
        <v>17.55</v>
      </c>
      <c r="W147" s="5">
        <v>18.510000000000002</v>
      </c>
      <c r="X147" s="7">
        <f t="shared" si="8"/>
        <v>327.81000000000006</v>
      </c>
      <c r="Y147" s="5">
        <f t="shared" si="9"/>
        <v>19.28294117647059</v>
      </c>
    </row>
    <row r="148" spans="1:25" x14ac:dyDescent="0.2">
      <c r="A148" s="2" t="s">
        <v>219</v>
      </c>
      <c r="B148" s="3" t="s">
        <v>32</v>
      </c>
      <c r="C148" s="3" t="s">
        <v>127</v>
      </c>
      <c r="D148" s="2" t="s">
        <v>217</v>
      </c>
      <c r="E148" s="4">
        <v>8</v>
      </c>
      <c r="F148" s="5">
        <v>19.62</v>
      </c>
      <c r="G148" s="5">
        <v>24.34</v>
      </c>
      <c r="H148" s="5">
        <v>23.81</v>
      </c>
      <c r="I148" s="5">
        <v>19.84</v>
      </c>
      <c r="J148" s="5">
        <v>19.16</v>
      </c>
      <c r="K148" s="5">
        <v>23.55</v>
      </c>
      <c r="L148" s="5">
        <v>22.61</v>
      </c>
      <c r="M148" s="6">
        <v>0</v>
      </c>
      <c r="N148" s="5">
        <v>23.37</v>
      </c>
      <c r="O148" s="5">
        <v>21.13</v>
      </c>
      <c r="P148" s="5">
        <v>21.68</v>
      </c>
      <c r="Q148" s="5">
        <v>19.809999999999999</v>
      </c>
      <c r="R148" s="5">
        <v>21.7</v>
      </c>
      <c r="S148" s="5">
        <v>19.68</v>
      </c>
      <c r="T148" s="5">
        <v>20.79</v>
      </c>
      <c r="U148" s="5">
        <v>20.41</v>
      </c>
      <c r="V148" s="5">
        <v>20.28</v>
      </c>
      <c r="W148" s="5">
        <v>23.1</v>
      </c>
      <c r="X148" s="7">
        <f t="shared" si="8"/>
        <v>364.88000000000011</v>
      </c>
      <c r="Y148" s="5">
        <f t="shared" si="9"/>
        <v>21.463529411764711</v>
      </c>
    </row>
    <row r="149" spans="1:25" x14ac:dyDescent="0.2">
      <c r="A149" s="2" t="s">
        <v>220</v>
      </c>
      <c r="B149" s="3" t="s">
        <v>32</v>
      </c>
      <c r="C149" s="3" t="s">
        <v>97</v>
      </c>
      <c r="D149" s="2" t="s">
        <v>217</v>
      </c>
      <c r="E149" s="4">
        <v>13</v>
      </c>
      <c r="F149" s="5">
        <v>21.62</v>
      </c>
      <c r="G149" s="5">
        <v>17.809999999999999</v>
      </c>
      <c r="H149" s="5">
        <v>18.45</v>
      </c>
      <c r="I149" s="5">
        <v>17.37</v>
      </c>
      <c r="J149" s="5">
        <v>16.670000000000002</v>
      </c>
      <c r="K149" s="5">
        <v>19.22</v>
      </c>
      <c r="L149" s="5">
        <v>15.94</v>
      </c>
      <c r="M149" s="5">
        <v>17.68</v>
      </c>
      <c r="N149" s="5">
        <v>17.440000000000001</v>
      </c>
      <c r="O149" s="5">
        <v>16.11</v>
      </c>
      <c r="P149" s="5">
        <v>15.46</v>
      </c>
      <c r="Q149" s="5">
        <v>16.989999999999998</v>
      </c>
      <c r="R149" s="6">
        <v>0</v>
      </c>
      <c r="S149" s="5">
        <v>17.75</v>
      </c>
      <c r="T149" s="5">
        <v>16.16</v>
      </c>
      <c r="U149" s="5">
        <v>19.34</v>
      </c>
      <c r="V149" s="5">
        <v>19.41</v>
      </c>
      <c r="W149" s="5">
        <v>16.66</v>
      </c>
      <c r="X149" s="7">
        <f t="shared" si="8"/>
        <v>300.08000000000004</v>
      </c>
      <c r="Y149" s="5">
        <f t="shared" si="9"/>
        <v>17.651764705882357</v>
      </c>
    </row>
    <row r="150" spans="1:25" x14ac:dyDescent="0.2">
      <c r="A150" s="2" t="s">
        <v>221</v>
      </c>
      <c r="B150" s="3" t="s">
        <v>32</v>
      </c>
      <c r="C150" s="3" t="s">
        <v>135</v>
      </c>
      <c r="D150" s="2" t="s">
        <v>217</v>
      </c>
      <c r="E150" s="4">
        <v>10</v>
      </c>
      <c r="F150" s="5">
        <v>13.24</v>
      </c>
      <c r="G150" s="5">
        <v>13.09</v>
      </c>
      <c r="H150" s="5">
        <v>13.45</v>
      </c>
      <c r="I150" s="5">
        <v>13.01</v>
      </c>
      <c r="J150" s="5">
        <v>12.63</v>
      </c>
      <c r="K150" s="5">
        <v>12.36</v>
      </c>
      <c r="L150" s="5">
        <v>13.28</v>
      </c>
      <c r="M150" s="5">
        <v>14.35</v>
      </c>
      <c r="N150" s="5">
        <v>12.77</v>
      </c>
      <c r="O150" s="6">
        <v>0</v>
      </c>
      <c r="P150" s="5">
        <v>12.16</v>
      </c>
      <c r="Q150" s="5">
        <v>13.82</v>
      </c>
      <c r="R150" s="5">
        <v>12.97</v>
      </c>
      <c r="S150" s="5">
        <v>11.9</v>
      </c>
      <c r="T150" s="5">
        <v>13.5</v>
      </c>
      <c r="U150" s="5">
        <v>13.8</v>
      </c>
      <c r="V150" s="5">
        <v>11.69</v>
      </c>
      <c r="W150" s="5">
        <v>12.98</v>
      </c>
      <c r="X150" s="7">
        <f t="shared" si="8"/>
        <v>221</v>
      </c>
      <c r="Y150" s="5">
        <f t="shared" si="9"/>
        <v>13</v>
      </c>
    </row>
    <row r="151" spans="1:25" x14ac:dyDescent="0.2">
      <c r="A151" s="2" t="s">
        <v>222</v>
      </c>
      <c r="B151" s="3" t="s">
        <v>32</v>
      </c>
      <c r="C151" s="3" t="s">
        <v>27</v>
      </c>
      <c r="D151" s="2" t="s">
        <v>217</v>
      </c>
      <c r="E151" s="4">
        <v>7</v>
      </c>
      <c r="F151" s="5">
        <v>8.77</v>
      </c>
      <c r="G151" s="5">
        <v>9.61</v>
      </c>
      <c r="H151" s="5">
        <v>9.02</v>
      </c>
      <c r="I151" s="5">
        <v>10.41</v>
      </c>
      <c r="J151" s="5">
        <v>10.72</v>
      </c>
      <c r="K151" s="5">
        <v>9.7100000000000009</v>
      </c>
      <c r="L151" s="6">
        <v>0</v>
      </c>
      <c r="M151" s="5">
        <v>9.31</v>
      </c>
      <c r="N151" s="5">
        <v>8.82</v>
      </c>
      <c r="O151" s="5">
        <v>10.14</v>
      </c>
      <c r="P151" s="5">
        <v>10.75</v>
      </c>
      <c r="Q151" s="5">
        <v>11.12</v>
      </c>
      <c r="R151" s="5">
        <v>10.62</v>
      </c>
      <c r="S151" s="5">
        <v>9.2100000000000009</v>
      </c>
      <c r="T151" s="5">
        <v>11.36</v>
      </c>
      <c r="U151" s="5">
        <v>9.9499999999999993</v>
      </c>
      <c r="V151" s="5">
        <v>9.94</v>
      </c>
      <c r="W151" s="5">
        <v>10.09</v>
      </c>
      <c r="X151" s="7">
        <f t="shared" si="8"/>
        <v>169.54999999999998</v>
      </c>
      <c r="Y151" s="5">
        <f t="shared" si="9"/>
        <v>9.9735294117647051</v>
      </c>
    </row>
    <row r="152" spans="1:25" x14ac:dyDescent="0.2">
      <c r="A152" s="2" t="s">
        <v>223</v>
      </c>
      <c r="B152" s="3" t="s">
        <v>41</v>
      </c>
      <c r="C152" s="3" t="s">
        <v>61</v>
      </c>
      <c r="D152" s="2" t="s">
        <v>217</v>
      </c>
      <c r="E152" s="4">
        <v>6</v>
      </c>
      <c r="F152" s="5">
        <v>18.7</v>
      </c>
      <c r="G152" s="5">
        <v>18.79</v>
      </c>
      <c r="H152" s="5">
        <v>18.329999999999998</v>
      </c>
      <c r="I152" s="5">
        <v>19.59</v>
      </c>
      <c r="J152" s="5">
        <v>18.45</v>
      </c>
      <c r="K152" s="6">
        <v>0</v>
      </c>
      <c r="L152" s="5">
        <v>19.100000000000001</v>
      </c>
      <c r="M152" s="5">
        <v>18.34</v>
      </c>
      <c r="N152" s="5">
        <v>20.059999999999999</v>
      </c>
      <c r="O152" s="5">
        <v>18.420000000000002</v>
      </c>
      <c r="P152" s="5">
        <v>18.95</v>
      </c>
      <c r="Q152" s="5">
        <v>19.38</v>
      </c>
      <c r="R152" s="5">
        <v>18.87</v>
      </c>
      <c r="S152" s="5">
        <v>18.190000000000001</v>
      </c>
      <c r="T152" s="5">
        <v>18.57</v>
      </c>
      <c r="U152" s="5">
        <v>19.829999999999998</v>
      </c>
      <c r="V152" s="5">
        <v>18.440000000000001</v>
      </c>
      <c r="W152" s="5">
        <v>18.97</v>
      </c>
      <c r="X152" s="7">
        <f t="shared" si="8"/>
        <v>320.98</v>
      </c>
      <c r="Y152" s="5">
        <f t="shared" si="9"/>
        <v>18.881176470588237</v>
      </c>
    </row>
    <row r="153" spans="1:25" x14ac:dyDescent="0.2">
      <c r="A153" s="2" t="s">
        <v>224</v>
      </c>
      <c r="B153" s="3" t="s">
        <v>41</v>
      </c>
      <c r="C153" s="3" t="s">
        <v>35</v>
      </c>
      <c r="D153" s="2" t="s">
        <v>217</v>
      </c>
      <c r="E153" s="4">
        <v>11</v>
      </c>
      <c r="F153" s="5">
        <v>14.64</v>
      </c>
      <c r="G153" s="5">
        <v>14.69</v>
      </c>
      <c r="H153" s="5">
        <v>13.46</v>
      </c>
      <c r="I153" s="5">
        <v>13.74</v>
      </c>
      <c r="J153" s="5">
        <v>15.46</v>
      </c>
      <c r="K153" s="5">
        <v>15.06</v>
      </c>
      <c r="L153" s="5">
        <v>14.76</v>
      </c>
      <c r="M153" s="5">
        <v>14.49</v>
      </c>
      <c r="N153" s="5">
        <v>15.16</v>
      </c>
      <c r="O153" s="5">
        <v>14.95</v>
      </c>
      <c r="P153" s="6">
        <v>0</v>
      </c>
      <c r="Q153" s="5">
        <v>14.42</v>
      </c>
      <c r="R153" s="5">
        <v>14.27</v>
      </c>
      <c r="S153" s="5">
        <v>14.58</v>
      </c>
      <c r="T153" s="5">
        <v>14.84</v>
      </c>
      <c r="U153" s="5">
        <v>13.53</v>
      </c>
      <c r="V153" s="5">
        <v>14.2</v>
      </c>
      <c r="W153" s="5">
        <v>13.7</v>
      </c>
      <c r="X153" s="7">
        <f t="shared" si="8"/>
        <v>245.95</v>
      </c>
      <c r="Y153" s="5">
        <f t="shared" si="9"/>
        <v>14.467647058823529</v>
      </c>
    </row>
    <row r="154" spans="1:25" x14ac:dyDescent="0.2">
      <c r="A154" s="2" t="s">
        <v>225</v>
      </c>
      <c r="B154" s="3" t="s">
        <v>41</v>
      </c>
      <c r="C154" s="3" t="s">
        <v>102</v>
      </c>
      <c r="D154" s="2" t="s">
        <v>217</v>
      </c>
      <c r="E154" s="4">
        <v>10</v>
      </c>
      <c r="F154" s="5">
        <v>13.36</v>
      </c>
      <c r="G154" s="5">
        <v>13.38</v>
      </c>
      <c r="H154" s="5">
        <v>12.8</v>
      </c>
      <c r="I154" s="5">
        <v>13.35</v>
      </c>
      <c r="J154" s="5">
        <v>13.18</v>
      </c>
      <c r="K154" s="5">
        <v>13.76</v>
      </c>
      <c r="L154" s="5">
        <v>13.15</v>
      </c>
      <c r="M154" s="5">
        <v>12.39</v>
      </c>
      <c r="N154" s="5">
        <v>13.26</v>
      </c>
      <c r="O154" s="6">
        <v>0</v>
      </c>
      <c r="P154" s="5">
        <v>13.35</v>
      </c>
      <c r="Q154" s="5">
        <v>13.07</v>
      </c>
      <c r="R154" s="5">
        <v>13.76</v>
      </c>
      <c r="S154" s="5">
        <v>13.93</v>
      </c>
      <c r="T154" s="5">
        <v>14.19</v>
      </c>
      <c r="U154" s="5">
        <v>13.33</v>
      </c>
      <c r="V154" s="5">
        <v>13.26</v>
      </c>
      <c r="W154" s="5">
        <v>13.21</v>
      </c>
      <c r="X154" s="7">
        <f t="shared" si="8"/>
        <v>226.73000000000002</v>
      </c>
      <c r="Y154" s="5">
        <f t="shared" si="9"/>
        <v>13.337058823529413</v>
      </c>
    </row>
    <row r="155" spans="1:25" x14ac:dyDescent="0.2">
      <c r="A155" s="2" t="s">
        <v>226</v>
      </c>
      <c r="B155" s="3" t="s">
        <v>41</v>
      </c>
      <c r="C155" s="3" t="s">
        <v>54</v>
      </c>
      <c r="D155" s="2" t="s">
        <v>217</v>
      </c>
      <c r="E155" s="4">
        <v>10</v>
      </c>
      <c r="F155" s="5">
        <v>12.24</v>
      </c>
      <c r="G155" s="5">
        <v>12.98</v>
      </c>
      <c r="H155" s="5">
        <v>12.02</v>
      </c>
      <c r="I155" s="5">
        <v>12.69</v>
      </c>
      <c r="J155" s="5">
        <v>12.46</v>
      </c>
      <c r="K155" s="5">
        <v>11.85</v>
      </c>
      <c r="L155" s="5">
        <v>13.12</v>
      </c>
      <c r="M155" s="5">
        <v>12.42</v>
      </c>
      <c r="N155" s="5">
        <v>12.59</v>
      </c>
      <c r="O155" s="6">
        <v>0</v>
      </c>
      <c r="P155" s="5">
        <v>13.08</v>
      </c>
      <c r="Q155" s="5">
        <v>11.65</v>
      </c>
      <c r="R155" s="5">
        <v>13.29</v>
      </c>
      <c r="S155" s="5">
        <v>12.43</v>
      </c>
      <c r="T155" s="5">
        <v>12.93</v>
      </c>
      <c r="U155" s="5">
        <v>13.57</v>
      </c>
      <c r="V155" s="5">
        <v>12.22</v>
      </c>
      <c r="W155" s="5">
        <v>12.64</v>
      </c>
      <c r="X155" s="7">
        <f t="shared" si="8"/>
        <v>214.18</v>
      </c>
      <c r="Y155" s="5">
        <f t="shared" si="9"/>
        <v>12.598823529411765</v>
      </c>
    </row>
    <row r="156" spans="1:25" x14ac:dyDescent="0.2">
      <c r="A156" s="2" t="s">
        <v>227</v>
      </c>
      <c r="B156" s="3" t="s">
        <v>48</v>
      </c>
      <c r="C156" s="3" t="s">
        <v>42</v>
      </c>
      <c r="D156" s="2" t="s">
        <v>217</v>
      </c>
      <c r="E156" s="4">
        <v>14</v>
      </c>
      <c r="F156" s="5">
        <v>10.130000000000001</v>
      </c>
      <c r="G156" s="5">
        <v>10.58</v>
      </c>
      <c r="H156" s="5">
        <v>9.77</v>
      </c>
      <c r="I156" s="5">
        <v>9.3000000000000007</v>
      </c>
      <c r="J156" s="5">
        <v>9.9499999999999993</v>
      </c>
      <c r="K156" s="5">
        <v>9.93</v>
      </c>
      <c r="L156" s="5">
        <v>9.58</v>
      </c>
      <c r="M156" s="5">
        <v>10.44</v>
      </c>
      <c r="N156" s="5">
        <v>10.16</v>
      </c>
      <c r="O156" s="5">
        <v>10.210000000000001</v>
      </c>
      <c r="P156" s="5">
        <v>10.14</v>
      </c>
      <c r="Q156" s="5">
        <v>9.66</v>
      </c>
      <c r="R156" s="5">
        <v>9.44</v>
      </c>
      <c r="S156" s="6">
        <v>0</v>
      </c>
      <c r="T156" s="5">
        <v>9.57</v>
      </c>
      <c r="U156" s="5">
        <v>10.29</v>
      </c>
      <c r="V156" s="5">
        <v>10.19</v>
      </c>
      <c r="W156" s="5">
        <v>10.53</v>
      </c>
      <c r="X156" s="7">
        <f t="shared" si="8"/>
        <v>169.87</v>
      </c>
      <c r="Y156" s="5">
        <f t="shared" si="9"/>
        <v>9.9923529411764704</v>
      </c>
    </row>
    <row r="157" spans="1:25" x14ac:dyDescent="0.2">
      <c r="A157" s="2" t="s">
        <v>228</v>
      </c>
      <c r="B157" s="3" t="s">
        <v>48</v>
      </c>
      <c r="C157" s="3" t="s">
        <v>61</v>
      </c>
      <c r="D157" s="2" t="s">
        <v>217</v>
      </c>
      <c r="E157" s="4">
        <v>6</v>
      </c>
      <c r="F157" s="5">
        <v>9.44</v>
      </c>
      <c r="G157" s="5">
        <v>9.52</v>
      </c>
      <c r="H157" s="5">
        <v>9.2899999999999991</v>
      </c>
      <c r="I157" s="5">
        <v>9.9</v>
      </c>
      <c r="J157" s="5">
        <v>9.35</v>
      </c>
      <c r="K157" s="6">
        <v>0</v>
      </c>
      <c r="L157" s="5">
        <v>9.65</v>
      </c>
      <c r="M157" s="5">
        <v>9.2899999999999991</v>
      </c>
      <c r="N157" s="5">
        <v>10.15</v>
      </c>
      <c r="O157" s="5">
        <v>9.33</v>
      </c>
      <c r="P157" s="5">
        <v>9.59</v>
      </c>
      <c r="Q157" s="5">
        <v>9.8000000000000007</v>
      </c>
      <c r="R157" s="5">
        <v>9.5299999999999994</v>
      </c>
      <c r="S157" s="5">
        <v>9.2100000000000009</v>
      </c>
      <c r="T157" s="5">
        <v>9.3800000000000008</v>
      </c>
      <c r="U157" s="5">
        <v>10.029999999999999</v>
      </c>
      <c r="V157" s="5">
        <v>9.2200000000000006</v>
      </c>
      <c r="W157" s="5">
        <v>9.4600000000000009</v>
      </c>
      <c r="X157" s="7">
        <f t="shared" si="8"/>
        <v>162.14000000000001</v>
      </c>
      <c r="Y157" s="5">
        <f t="shared" si="9"/>
        <v>9.5376470588235307</v>
      </c>
    </row>
    <row r="158" spans="1:25" x14ac:dyDescent="0.2">
      <c r="A158" s="2" t="s">
        <v>229</v>
      </c>
      <c r="B158" s="3" t="s">
        <v>53</v>
      </c>
      <c r="C158" s="3" t="s">
        <v>82</v>
      </c>
      <c r="D158" s="2" t="s">
        <v>217</v>
      </c>
      <c r="E158" s="4">
        <v>9</v>
      </c>
      <c r="F158" s="5">
        <v>9.84</v>
      </c>
      <c r="G158" s="5">
        <v>8.7799999999999994</v>
      </c>
      <c r="H158" s="5">
        <v>8.9</v>
      </c>
      <c r="I158" s="5">
        <v>11.45</v>
      </c>
      <c r="J158" s="5">
        <v>9.82</v>
      </c>
      <c r="K158" s="5">
        <v>8.31</v>
      </c>
      <c r="L158" s="5">
        <v>9.48</v>
      </c>
      <c r="M158" s="5">
        <v>10.18</v>
      </c>
      <c r="N158" s="6">
        <v>0</v>
      </c>
      <c r="O158" s="5">
        <v>8.26</v>
      </c>
      <c r="P158" s="5">
        <v>7.65</v>
      </c>
      <c r="Q158" s="5">
        <v>8.17</v>
      </c>
      <c r="R158" s="5">
        <v>9.2899999999999991</v>
      </c>
      <c r="S158" s="5">
        <v>8.5299999999999994</v>
      </c>
      <c r="T158" s="5">
        <v>7.61</v>
      </c>
      <c r="U158" s="5">
        <v>9.7899999999999991</v>
      </c>
      <c r="V158" s="5">
        <v>10.130000000000001</v>
      </c>
      <c r="W158" s="5">
        <v>6.96</v>
      </c>
      <c r="X158" s="7">
        <f t="shared" si="8"/>
        <v>153.15</v>
      </c>
      <c r="Y158" s="5">
        <f t="shared" si="9"/>
        <v>9.0088235294117656</v>
      </c>
    </row>
    <row r="159" spans="1:25" x14ac:dyDescent="0.2">
      <c r="A159" s="2" t="s">
        <v>230</v>
      </c>
      <c r="B159" s="3" t="s">
        <v>53</v>
      </c>
      <c r="C159" s="3" t="s">
        <v>135</v>
      </c>
      <c r="D159" s="2" t="s">
        <v>217</v>
      </c>
      <c r="E159" s="4">
        <v>10</v>
      </c>
      <c r="F159" s="5">
        <v>7.04</v>
      </c>
      <c r="G159" s="5">
        <v>11.2</v>
      </c>
      <c r="H159" s="5">
        <v>8.36</v>
      </c>
      <c r="I159" s="5">
        <v>6.59</v>
      </c>
      <c r="J159" s="5">
        <v>5.67</v>
      </c>
      <c r="K159" s="5">
        <v>8.14</v>
      </c>
      <c r="L159" s="5">
        <v>8.09</v>
      </c>
      <c r="M159" s="5">
        <v>7.77</v>
      </c>
      <c r="N159" s="5">
        <v>6.02</v>
      </c>
      <c r="O159" s="6">
        <v>0</v>
      </c>
      <c r="P159" s="5">
        <v>5.83</v>
      </c>
      <c r="Q159" s="5">
        <v>9.2200000000000006</v>
      </c>
      <c r="R159" s="5">
        <v>8.25</v>
      </c>
      <c r="S159" s="5">
        <v>5.91</v>
      </c>
      <c r="T159" s="5">
        <v>9.4700000000000006</v>
      </c>
      <c r="U159" s="5">
        <v>7.24</v>
      </c>
      <c r="V159" s="5">
        <v>5.01</v>
      </c>
      <c r="W159" s="5">
        <v>8.7100000000000009</v>
      </c>
      <c r="X159" s="7">
        <f t="shared" si="8"/>
        <v>128.51999999999998</v>
      </c>
      <c r="Y159" s="5">
        <f t="shared" si="9"/>
        <v>7.5599999999999987</v>
      </c>
    </row>
    <row r="160" spans="1:25" x14ac:dyDescent="0.2">
      <c r="A160" s="2" t="s">
        <v>231</v>
      </c>
      <c r="B160" s="3" t="s">
        <v>58</v>
      </c>
      <c r="C160" s="3" t="s">
        <v>112</v>
      </c>
      <c r="D160" s="2" t="s">
        <v>217</v>
      </c>
      <c r="E160" s="4">
        <v>5</v>
      </c>
      <c r="F160" s="5">
        <v>8.51</v>
      </c>
      <c r="G160" s="5">
        <v>9.07</v>
      </c>
      <c r="H160" s="5">
        <v>9.02</v>
      </c>
      <c r="I160" s="5">
        <v>8.83</v>
      </c>
      <c r="J160" s="6">
        <v>0</v>
      </c>
      <c r="K160" s="5">
        <v>8.8800000000000008</v>
      </c>
      <c r="L160" s="5">
        <v>8.08</v>
      </c>
      <c r="M160" s="5">
        <v>8.08</v>
      </c>
      <c r="N160" s="5">
        <v>8.98</v>
      </c>
      <c r="O160" s="5">
        <v>8.83</v>
      </c>
      <c r="P160" s="5">
        <v>9.36</v>
      </c>
      <c r="Q160" s="5">
        <v>8.83</v>
      </c>
      <c r="R160" s="5">
        <v>8.08</v>
      </c>
      <c r="S160" s="5">
        <v>8.74</v>
      </c>
      <c r="T160" s="5">
        <v>8.7899999999999991</v>
      </c>
      <c r="U160" s="5">
        <v>8.98</v>
      </c>
      <c r="V160" s="5">
        <v>8.4499999999999993</v>
      </c>
      <c r="W160" s="5">
        <v>9.26</v>
      </c>
      <c r="X160" s="7">
        <f t="shared" si="8"/>
        <v>148.76999999999995</v>
      </c>
      <c r="Y160" s="5">
        <f t="shared" si="9"/>
        <v>8.7511764705882324</v>
      </c>
    </row>
    <row r="161" spans="1:25" x14ac:dyDescent="0.2">
      <c r="A161" s="2" t="s">
        <v>232</v>
      </c>
      <c r="B161" s="3" t="s">
        <v>58</v>
      </c>
      <c r="C161" s="3" t="s">
        <v>33</v>
      </c>
      <c r="D161" s="2" t="s">
        <v>217</v>
      </c>
      <c r="E161" s="4">
        <v>13</v>
      </c>
      <c r="F161" s="5">
        <v>8.49</v>
      </c>
      <c r="G161" s="5">
        <v>8.83</v>
      </c>
      <c r="H161" s="5">
        <v>8.61</v>
      </c>
      <c r="I161" s="5">
        <v>9.02</v>
      </c>
      <c r="J161" s="5">
        <v>8.68</v>
      </c>
      <c r="K161" s="5">
        <v>8.1999999999999993</v>
      </c>
      <c r="L161" s="5">
        <v>9.02</v>
      </c>
      <c r="M161" s="5">
        <v>8.68</v>
      </c>
      <c r="N161" s="5">
        <v>8.93</v>
      </c>
      <c r="O161" s="5">
        <v>8.73</v>
      </c>
      <c r="P161" s="5">
        <v>8.49</v>
      </c>
      <c r="Q161" s="5">
        <v>7.92</v>
      </c>
      <c r="R161" s="6">
        <v>0</v>
      </c>
      <c r="S161" s="5">
        <v>8.73</v>
      </c>
      <c r="T161" s="5">
        <v>8.01</v>
      </c>
      <c r="U161" s="5">
        <v>8.64</v>
      </c>
      <c r="V161" s="5">
        <v>8.59</v>
      </c>
      <c r="W161" s="5">
        <v>8.4499999999999993</v>
      </c>
      <c r="X161" s="7">
        <f t="shared" si="8"/>
        <v>146.02000000000001</v>
      </c>
      <c r="Y161" s="5">
        <f t="shared" si="9"/>
        <v>8.5894117647058827</v>
      </c>
    </row>
  </sheetData>
  <autoFilter ref="A1:Y161" xr:uid="{00000000-0009-0000-0000-000000000000}"/>
  <conditionalFormatting sqref="F2:W161">
    <cfRule type="colorScale" priority="2">
      <colorScale>
        <cfvo type="num" val="0.01"/>
        <cfvo type="max"/>
        <color rgb="FFFFF4E6"/>
        <color rgb="FFF4A259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24" customWidth="1"/>
    <col min="2" max="19" width="8" customWidth="1"/>
    <col min="20" max="20" width="12" customWidth="1"/>
    <col min="21" max="21" width="9" customWidth="1"/>
  </cols>
  <sheetData>
    <row r="1" spans="1:21" x14ac:dyDescent="0.2">
      <c r="A1" s="8" t="s">
        <v>233</v>
      </c>
    </row>
    <row r="3" spans="1:21" x14ac:dyDescent="0.2">
      <c r="A3" s="9" t="s">
        <v>3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9" t="s">
        <v>20</v>
      </c>
      <c r="R3" s="9" t="s">
        <v>21</v>
      </c>
      <c r="S3" s="9" t="s">
        <v>22</v>
      </c>
      <c r="T3" s="9" t="s">
        <v>23</v>
      </c>
      <c r="U3" s="9" t="s">
        <v>234</v>
      </c>
    </row>
    <row r="4" spans="1:21" x14ac:dyDescent="0.2">
      <c r="A4" s="10" t="s">
        <v>28</v>
      </c>
      <c r="B4" s="5">
        <f>SUMIFS('Weekly Projections'!$F$2:$F$161,'Weekly Projections'!$D$2:$D$161,$A4)</f>
        <v>216.55000000000004</v>
      </c>
      <c r="C4" s="5">
        <f>SUMIFS('Weekly Projections'!$G$2:$G$161,'Weekly Projections'!$D$2:$D$161,$A4)</f>
        <v>217.59</v>
      </c>
      <c r="D4" s="5">
        <f>SUMIFS('Weekly Projections'!$H$2:$H$161,'Weekly Projections'!$D$2:$D$161,$A4)</f>
        <v>207.78</v>
      </c>
      <c r="E4" s="5">
        <f>SUMIFS('Weekly Projections'!$I$2:$I$161,'Weekly Projections'!$D$2:$D$161,$A4)</f>
        <v>211.21</v>
      </c>
      <c r="F4" s="5">
        <f>SUMIFS('Weekly Projections'!$J$2:$J$161,'Weekly Projections'!$D$2:$D$161,$A4)</f>
        <v>190.8</v>
      </c>
      <c r="G4" s="5">
        <f>SUMIFS('Weekly Projections'!$K$2:$K$161,'Weekly Projections'!$D$2:$D$161,$A4)</f>
        <v>204.31000000000006</v>
      </c>
      <c r="H4" s="5">
        <f>SUMIFS('Weekly Projections'!$L$2:$L$161,'Weekly Projections'!$D$2:$D$161,$A4)</f>
        <v>152.66000000000003</v>
      </c>
      <c r="I4" s="5">
        <f>SUMIFS('Weekly Projections'!$M$2:$M$161,'Weekly Projections'!$D$2:$D$161,$A4)</f>
        <v>193.86</v>
      </c>
      <c r="J4" s="5">
        <f>SUMIFS('Weekly Projections'!$N$2:$N$161,'Weekly Projections'!$D$2:$D$161,$A4)</f>
        <v>207.21</v>
      </c>
      <c r="K4" s="5">
        <f>SUMIFS('Weekly Projections'!$O$2:$O$161,'Weekly Projections'!$D$2:$D$161,$A4)</f>
        <v>204.42999999999998</v>
      </c>
      <c r="L4" s="5">
        <f>SUMIFS('Weekly Projections'!$P$2:$P$161,'Weekly Projections'!$D$2:$D$161,$A4)</f>
        <v>179.65</v>
      </c>
      <c r="M4" s="5">
        <f>SUMIFS('Weekly Projections'!$Q$2:$Q$161,'Weekly Projections'!$D$2:$D$161,$A4)</f>
        <v>215.93</v>
      </c>
      <c r="N4" s="5">
        <f>SUMIFS('Weekly Projections'!$R$2:$R$161,'Weekly Projections'!$D$2:$D$161,$A4)</f>
        <v>193.11</v>
      </c>
      <c r="O4" s="5">
        <f>SUMIFS('Weekly Projections'!$S$2:$S$161,'Weekly Projections'!$D$2:$D$161,$A4)</f>
        <v>181.58999999999997</v>
      </c>
      <c r="P4" s="5">
        <f>SUMIFS('Weekly Projections'!$T$2:$T$161,'Weekly Projections'!$D$2:$D$161,$A4)</f>
        <v>218.75000000000003</v>
      </c>
      <c r="Q4" s="5">
        <f>SUMIFS('Weekly Projections'!$U$2:$U$161,'Weekly Projections'!$D$2:$D$161,$A4)</f>
        <v>209.53000000000003</v>
      </c>
      <c r="R4" s="5">
        <f>SUMIFS('Weekly Projections'!$V$2:$V$161,'Weekly Projections'!$D$2:$D$161,$A4)</f>
        <v>209.95</v>
      </c>
      <c r="S4" s="5">
        <f>SUMIFS('Weekly Projections'!$W$2:$W$161,'Weekly Projections'!$D$2:$D$161,$A4)</f>
        <v>216.92000000000002</v>
      </c>
      <c r="T4" s="7">
        <f t="shared" ref="T4:T13" si="0">SUM(B4:S4)</f>
        <v>3631.8300000000004</v>
      </c>
      <c r="U4" s="5">
        <f t="shared" ref="U4:U13" si="1">AVERAGE(B4:S4)</f>
        <v>201.76833333333335</v>
      </c>
    </row>
    <row r="5" spans="1:21" x14ac:dyDescent="0.2">
      <c r="A5" s="10" t="s">
        <v>63</v>
      </c>
      <c r="B5" s="5">
        <f>SUMIFS('Weekly Projections'!$F$2:$F$161,'Weekly Projections'!$D$2:$D$161,$A5)</f>
        <v>205.56</v>
      </c>
      <c r="C5" s="5">
        <f>SUMIFS('Weekly Projections'!$G$2:$G$161,'Weekly Projections'!$D$2:$D$161,$A5)</f>
        <v>208.12</v>
      </c>
      <c r="D5" s="5">
        <f>SUMIFS('Weekly Projections'!$H$2:$H$161,'Weekly Projections'!$D$2:$D$161,$A5)</f>
        <v>194.89999999999995</v>
      </c>
      <c r="E5" s="5">
        <f>SUMIFS('Weekly Projections'!$I$2:$I$161,'Weekly Projections'!$D$2:$D$161,$A5)</f>
        <v>197.89</v>
      </c>
      <c r="F5" s="5">
        <f>SUMIFS('Weekly Projections'!$J$2:$J$161,'Weekly Projections'!$D$2:$D$161,$A5)</f>
        <v>205.47000000000003</v>
      </c>
      <c r="G5" s="5">
        <f>SUMIFS('Weekly Projections'!$K$2:$K$161,'Weekly Projections'!$D$2:$D$161,$A5)</f>
        <v>192.41</v>
      </c>
      <c r="H5" s="5">
        <f>SUMIFS('Weekly Projections'!$L$2:$L$161,'Weekly Projections'!$D$2:$D$161,$A5)</f>
        <v>205.85000000000002</v>
      </c>
      <c r="I5" s="5">
        <f>SUMIFS('Weekly Projections'!$M$2:$M$161,'Weekly Projections'!$D$2:$D$161,$A5)</f>
        <v>184.84</v>
      </c>
      <c r="J5" s="5">
        <f>SUMIFS('Weekly Projections'!$N$2:$N$161,'Weekly Projections'!$D$2:$D$161,$A5)</f>
        <v>196.00000000000003</v>
      </c>
      <c r="K5" s="5">
        <f>SUMIFS('Weekly Projections'!$O$2:$O$161,'Weekly Projections'!$D$2:$D$161,$A5)</f>
        <v>151.09</v>
      </c>
      <c r="L5" s="5">
        <f>SUMIFS('Weekly Projections'!$P$2:$P$161,'Weekly Projections'!$D$2:$D$161,$A5)</f>
        <v>129.75</v>
      </c>
      <c r="M5" s="5">
        <f>SUMIFS('Weekly Projections'!$Q$2:$Q$161,'Weekly Projections'!$D$2:$D$161,$A5)</f>
        <v>198.77</v>
      </c>
      <c r="N5" s="5">
        <f>SUMIFS('Weekly Projections'!$R$2:$R$161,'Weekly Projections'!$D$2:$D$161,$A5)</f>
        <v>190.57999999999998</v>
      </c>
      <c r="O5" s="5">
        <f>SUMIFS('Weekly Projections'!$S$2:$S$161,'Weekly Projections'!$D$2:$D$161,$A5)</f>
        <v>187.96000000000006</v>
      </c>
      <c r="P5" s="5">
        <f>SUMIFS('Weekly Projections'!$T$2:$T$161,'Weekly Projections'!$D$2:$D$161,$A5)</f>
        <v>204.86</v>
      </c>
      <c r="Q5" s="5">
        <f>SUMIFS('Weekly Projections'!$U$2:$U$161,'Weekly Projections'!$D$2:$D$161,$A5)</f>
        <v>196.67</v>
      </c>
      <c r="R5" s="5">
        <f>SUMIFS('Weekly Projections'!$V$2:$V$161,'Weekly Projections'!$D$2:$D$161,$A5)</f>
        <v>202.17</v>
      </c>
      <c r="S5" s="5">
        <f>SUMIFS('Weekly Projections'!$W$2:$W$161,'Weekly Projections'!$D$2:$D$161,$A5)</f>
        <v>201.55</v>
      </c>
      <c r="T5" s="7">
        <f t="shared" si="0"/>
        <v>3454.44</v>
      </c>
      <c r="U5" s="5">
        <f t="shared" si="1"/>
        <v>191.91333333333333</v>
      </c>
    </row>
    <row r="6" spans="1:21" x14ac:dyDescent="0.2">
      <c r="A6" s="10" t="s">
        <v>85</v>
      </c>
      <c r="B6" s="5">
        <f>SUMIFS('Weekly Projections'!$F$2:$F$161,'Weekly Projections'!$D$2:$D$161,$A6)</f>
        <v>218.96000000000006</v>
      </c>
      <c r="C6" s="5">
        <f>SUMIFS('Weekly Projections'!$G$2:$G$161,'Weekly Projections'!$D$2:$D$161,$A6)</f>
        <v>210.28</v>
      </c>
      <c r="D6" s="5">
        <f>SUMIFS('Weekly Projections'!$H$2:$H$161,'Weekly Projections'!$D$2:$D$161,$A6)</f>
        <v>220.77999999999997</v>
      </c>
      <c r="E6" s="5">
        <f>SUMIFS('Weekly Projections'!$I$2:$I$161,'Weekly Projections'!$D$2:$D$161,$A6)</f>
        <v>224.03</v>
      </c>
      <c r="F6" s="5">
        <f>SUMIFS('Weekly Projections'!$J$2:$J$161,'Weekly Projections'!$D$2:$D$161,$A6)</f>
        <v>216.62</v>
      </c>
      <c r="G6" s="5">
        <f>SUMIFS('Weekly Projections'!$K$2:$K$161,'Weekly Projections'!$D$2:$D$161,$A6)</f>
        <v>191.68999999999997</v>
      </c>
      <c r="H6" s="5">
        <f>SUMIFS('Weekly Projections'!$L$2:$L$161,'Weekly Projections'!$D$2:$D$161,$A6)</f>
        <v>166.69000000000003</v>
      </c>
      <c r="I6" s="5">
        <f>SUMIFS('Weekly Projections'!$M$2:$M$161,'Weekly Projections'!$D$2:$D$161,$A6)</f>
        <v>199.23</v>
      </c>
      <c r="J6" s="5">
        <f>SUMIFS('Weekly Projections'!$N$2:$N$161,'Weekly Projections'!$D$2:$D$161,$A6)</f>
        <v>190.56000000000006</v>
      </c>
      <c r="K6" s="5">
        <f>SUMIFS('Weekly Projections'!$O$2:$O$161,'Weekly Projections'!$D$2:$D$161,$A6)</f>
        <v>211.97000000000003</v>
      </c>
      <c r="L6" s="5">
        <f>SUMIFS('Weekly Projections'!$P$2:$P$161,'Weekly Projections'!$D$2:$D$161,$A6)</f>
        <v>151.33999999999997</v>
      </c>
      <c r="M6" s="5">
        <f>SUMIFS('Weekly Projections'!$Q$2:$Q$161,'Weekly Projections'!$D$2:$D$161,$A6)</f>
        <v>213.48999999999998</v>
      </c>
      <c r="N6" s="5">
        <f>SUMIFS('Weekly Projections'!$R$2:$R$161,'Weekly Projections'!$D$2:$D$161,$A6)</f>
        <v>191.46</v>
      </c>
      <c r="O6" s="5">
        <f>SUMIFS('Weekly Projections'!$S$2:$S$161,'Weekly Projections'!$D$2:$D$161,$A6)</f>
        <v>213.11</v>
      </c>
      <c r="P6" s="5">
        <f>SUMIFS('Weekly Projections'!$T$2:$T$161,'Weekly Projections'!$D$2:$D$161,$A6)</f>
        <v>209.12000000000003</v>
      </c>
      <c r="Q6" s="5">
        <f>SUMIFS('Weekly Projections'!$U$2:$U$161,'Weekly Projections'!$D$2:$D$161,$A6)</f>
        <v>212.64000000000004</v>
      </c>
      <c r="R6" s="5">
        <f>SUMIFS('Weekly Projections'!$V$2:$V$161,'Weekly Projections'!$D$2:$D$161,$A6)</f>
        <v>214.17000000000002</v>
      </c>
      <c r="S6" s="5">
        <f>SUMIFS('Weekly Projections'!$W$2:$W$161,'Weekly Projections'!$D$2:$D$161,$A6)</f>
        <v>213.96</v>
      </c>
      <c r="T6" s="7">
        <f t="shared" si="0"/>
        <v>3670.1000000000004</v>
      </c>
      <c r="U6" s="5">
        <f t="shared" si="1"/>
        <v>203.89444444444447</v>
      </c>
    </row>
    <row r="7" spans="1:21" x14ac:dyDescent="0.2">
      <c r="A7" s="10" t="s">
        <v>107</v>
      </c>
      <c r="B7" s="5">
        <f>SUMIFS('Weekly Projections'!$F$2:$F$161,'Weekly Projections'!$D$2:$D$161,$A7)</f>
        <v>198.86000000000007</v>
      </c>
      <c r="C7" s="5">
        <f>SUMIFS('Weekly Projections'!$G$2:$G$161,'Weekly Projections'!$D$2:$D$161,$A7)</f>
        <v>200.31</v>
      </c>
      <c r="D7" s="5">
        <f>SUMIFS('Weekly Projections'!$H$2:$H$161,'Weekly Projections'!$D$2:$D$161,$A7)</f>
        <v>201.86000000000004</v>
      </c>
      <c r="E7" s="5">
        <f>SUMIFS('Weekly Projections'!$I$2:$I$161,'Weekly Projections'!$D$2:$D$161,$A7)</f>
        <v>202.63</v>
      </c>
      <c r="F7" s="5">
        <f>SUMIFS('Weekly Projections'!$J$2:$J$161,'Weekly Projections'!$D$2:$D$161,$A7)</f>
        <v>180.32000000000002</v>
      </c>
      <c r="G7" s="5">
        <f>SUMIFS('Weekly Projections'!$K$2:$K$161,'Weekly Projections'!$D$2:$D$161,$A7)</f>
        <v>192.90000000000003</v>
      </c>
      <c r="H7" s="5">
        <f>SUMIFS('Weekly Projections'!$L$2:$L$161,'Weekly Projections'!$D$2:$D$161,$A7)</f>
        <v>150.50999999999996</v>
      </c>
      <c r="I7" s="5">
        <f>SUMIFS('Weekly Projections'!$M$2:$M$161,'Weekly Projections'!$D$2:$D$161,$A7)</f>
        <v>201.18</v>
      </c>
      <c r="J7" s="5">
        <f>SUMIFS('Weekly Projections'!$N$2:$N$161,'Weekly Projections'!$D$2:$D$161,$A7)</f>
        <v>166.96</v>
      </c>
      <c r="K7" s="5">
        <f>SUMIFS('Weekly Projections'!$O$2:$O$161,'Weekly Projections'!$D$2:$D$161,$A7)</f>
        <v>182.60000000000002</v>
      </c>
      <c r="L7" s="5">
        <f>SUMIFS('Weekly Projections'!$P$2:$P$161,'Weekly Projections'!$D$2:$D$161,$A7)</f>
        <v>174.4</v>
      </c>
      <c r="M7" s="5">
        <f>SUMIFS('Weekly Projections'!$Q$2:$Q$161,'Weekly Projections'!$D$2:$D$161,$A7)</f>
        <v>203.30999999999997</v>
      </c>
      <c r="N7" s="5">
        <f>SUMIFS('Weekly Projections'!$R$2:$R$161,'Weekly Projections'!$D$2:$D$161,$A7)</f>
        <v>181.44000000000003</v>
      </c>
      <c r="O7" s="5">
        <f>SUMIFS('Weekly Projections'!$S$2:$S$161,'Weekly Projections'!$D$2:$D$161,$A7)</f>
        <v>177.76000000000002</v>
      </c>
      <c r="P7" s="5">
        <f>SUMIFS('Weekly Projections'!$T$2:$T$161,'Weekly Projections'!$D$2:$D$161,$A7)</f>
        <v>202.18999999999997</v>
      </c>
      <c r="Q7" s="5">
        <f>SUMIFS('Weekly Projections'!$U$2:$U$161,'Weekly Projections'!$D$2:$D$161,$A7)</f>
        <v>205.63</v>
      </c>
      <c r="R7" s="5">
        <f>SUMIFS('Weekly Projections'!$V$2:$V$161,'Weekly Projections'!$D$2:$D$161,$A7)</f>
        <v>203.59</v>
      </c>
      <c r="S7" s="5">
        <f>SUMIFS('Weekly Projections'!$W$2:$W$161,'Weekly Projections'!$D$2:$D$161,$A7)</f>
        <v>205.21000000000004</v>
      </c>
      <c r="T7" s="7">
        <f t="shared" si="0"/>
        <v>3431.6600000000008</v>
      </c>
      <c r="U7" s="5">
        <f t="shared" si="1"/>
        <v>190.64777777777783</v>
      </c>
    </row>
    <row r="8" spans="1:21" x14ac:dyDescent="0.2">
      <c r="A8" s="10" t="s">
        <v>128</v>
      </c>
      <c r="B8" s="5">
        <f>SUMIFS('Weekly Projections'!$F$2:$F$161,'Weekly Projections'!$D$2:$D$161,$A8)</f>
        <v>200.95999999999998</v>
      </c>
      <c r="C8" s="5">
        <f>SUMIFS('Weekly Projections'!$G$2:$G$161,'Weekly Projections'!$D$2:$D$161,$A8)</f>
        <v>213.74999999999994</v>
      </c>
      <c r="D8" s="5">
        <f>SUMIFS('Weekly Projections'!$H$2:$H$161,'Weekly Projections'!$D$2:$D$161,$A8)</f>
        <v>218.87</v>
      </c>
      <c r="E8" s="5">
        <f>SUMIFS('Weekly Projections'!$I$2:$I$161,'Weekly Projections'!$D$2:$D$161,$A8)</f>
        <v>212.97000000000003</v>
      </c>
      <c r="F8" s="5">
        <f>SUMIFS('Weekly Projections'!$J$2:$J$161,'Weekly Projections'!$D$2:$D$161,$A8)</f>
        <v>170.37000000000003</v>
      </c>
      <c r="G8" s="5">
        <f>SUMIFS('Weekly Projections'!$K$2:$K$161,'Weekly Projections'!$D$2:$D$161,$A8)</f>
        <v>203.61999999999998</v>
      </c>
      <c r="H8" s="5">
        <f>SUMIFS('Weekly Projections'!$L$2:$L$161,'Weekly Projections'!$D$2:$D$161,$A8)</f>
        <v>209.34</v>
      </c>
      <c r="I8" s="5">
        <f>SUMIFS('Weekly Projections'!$M$2:$M$161,'Weekly Projections'!$D$2:$D$161,$A8)</f>
        <v>157.08000000000001</v>
      </c>
      <c r="J8" s="5">
        <f>SUMIFS('Weekly Projections'!$N$2:$N$161,'Weekly Projections'!$D$2:$D$161,$A8)</f>
        <v>205.68</v>
      </c>
      <c r="K8" s="5">
        <f>SUMIFS('Weekly Projections'!$O$2:$O$161,'Weekly Projections'!$D$2:$D$161,$A8)</f>
        <v>172.7</v>
      </c>
      <c r="L8" s="5">
        <f>SUMIFS('Weekly Projections'!$P$2:$P$161,'Weekly Projections'!$D$2:$D$161,$A8)</f>
        <v>156.95999999999998</v>
      </c>
      <c r="M8" s="5">
        <f>SUMIFS('Weekly Projections'!$Q$2:$Q$161,'Weekly Projections'!$D$2:$D$161,$A8)</f>
        <v>208.62</v>
      </c>
      <c r="N8" s="5">
        <f>SUMIFS('Weekly Projections'!$R$2:$R$161,'Weekly Projections'!$D$2:$D$161,$A8)</f>
        <v>191.42999999999995</v>
      </c>
      <c r="O8" s="5">
        <f>SUMIFS('Weekly Projections'!$S$2:$S$161,'Weekly Projections'!$D$2:$D$161,$A8)</f>
        <v>206.06</v>
      </c>
      <c r="P8" s="5">
        <f>SUMIFS('Weekly Projections'!$T$2:$T$161,'Weekly Projections'!$D$2:$D$161,$A8)</f>
        <v>212.37</v>
      </c>
      <c r="Q8" s="5">
        <f>SUMIFS('Weekly Projections'!$U$2:$U$161,'Weekly Projections'!$D$2:$D$161,$A8)</f>
        <v>207.84999999999997</v>
      </c>
      <c r="R8" s="5">
        <f>SUMIFS('Weekly Projections'!$V$2:$V$161,'Weekly Projections'!$D$2:$D$161,$A8)</f>
        <v>207.66</v>
      </c>
      <c r="S8" s="5">
        <f>SUMIFS('Weekly Projections'!$W$2:$W$161,'Weekly Projections'!$D$2:$D$161,$A8)</f>
        <v>215.53000000000003</v>
      </c>
      <c r="T8" s="7">
        <f t="shared" si="0"/>
        <v>3571.8199999999993</v>
      </c>
      <c r="U8" s="5">
        <f t="shared" si="1"/>
        <v>198.43444444444441</v>
      </c>
    </row>
    <row r="9" spans="1:21" x14ac:dyDescent="0.2">
      <c r="A9" s="10" t="s">
        <v>147</v>
      </c>
      <c r="B9" s="5">
        <f>SUMIFS('Weekly Projections'!$F$2:$F$161,'Weekly Projections'!$D$2:$D$161,$A9)</f>
        <v>206.03000000000003</v>
      </c>
      <c r="C9" s="5">
        <f>SUMIFS('Weekly Projections'!$G$2:$G$161,'Weekly Projections'!$D$2:$D$161,$A9)</f>
        <v>201.72000000000003</v>
      </c>
      <c r="D9" s="5">
        <f>SUMIFS('Weekly Projections'!$H$2:$H$161,'Weekly Projections'!$D$2:$D$161,$A9)</f>
        <v>197.17999999999998</v>
      </c>
      <c r="E9" s="5">
        <f>SUMIFS('Weekly Projections'!$I$2:$I$161,'Weekly Projections'!$D$2:$D$161,$A9)</f>
        <v>205.35999999999996</v>
      </c>
      <c r="F9" s="5">
        <f>SUMIFS('Weekly Projections'!$J$2:$J$161,'Weekly Projections'!$D$2:$D$161,$A9)</f>
        <v>203.01</v>
      </c>
      <c r="G9" s="5">
        <f>SUMIFS('Weekly Projections'!$K$2:$K$161,'Weekly Projections'!$D$2:$D$161,$A9)</f>
        <v>143.32000000000002</v>
      </c>
      <c r="H9" s="5">
        <f>SUMIFS('Weekly Projections'!$L$2:$L$161,'Weekly Projections'!$D$2:$D$161,$A9)</f>
        <v>156.41999999999999</v>
      </c>
      <c r="I9" s="5">
        <f>SUMIFS('Weekly Projections'!$M$2:$M$161,'Weekly Projections'!$D$2:$D$161,$A9)</f>
        <v>181.39000000000001</v>
      </c>
      <c r="J9" s="5">
        <f>SUMIFS('Weekly Projections'!$N$2:$N$161,'Weekly Projections'!$D$2:$D$161,$A9)</f>
        <v>199.57999999999998</v>
      </c>
      <c r="K9" s="5">
        <f>SUMIFS('Weekly Projections'!$O$2:$O$161,'Weekly Projections'!$D$2:$D$161,$A9)</f>
        <v>139.36000000000001</v>
      </c>
      <c r="L9" s="5">
        <f>SUMIFS('Weekly Projections'!$P$2:$P$161,'Weekly Projections'!$D$2:$D$161,$A9)</f>
        <v>191.4</v>
      </c>
      <c r="M9" s="5">
        <f>SUMIFS('Weekly Projections'!$Q$2:$Q$161,'Weekly Projections'!$D$2:$D$161,$A9)</f>
        <v>201.23000000000002</v>
      </c>
      <c r="N9" s="5">
        <f>SUMIFS('Weekly Projections'!$R$2:$R$161,'Weekly Projections'!$D$2:$D$161,$A9)</f>
        <v>198.67000000000002</v>
      </c>
      <c r="O9" s="5">
        <f>SUMIFS('Weekly Projections'!$S$2:$S$161,'Weekly Projections'!$D$2:$D$161,$A9)</f>
        <v>178.20999999999998</v>
      </c>
      <c r="P9" s="5">
        <f>SUMIFS('Weekly Projections'!$T$2:$T$161,'Weekly Projections'!$D$2:$D$161,$A9)</f>
        <v>193.60999999999999</v>
      </c>
      <c r="Q9" s="5">
        <f>SUMIFS('Weekly Projections'!$U$2:$U$161,'Weekly Projections'!$D$2:$D$161,$A9)</f>
        <v>199.92</v>
      </c>
      <c r="R9" s="5">
        <f>SUMIFS('Weekly Projections'!$V$2:$V$161,'Weekly Projections'!$D$2:$D$161,$A9)</f>
        <v>200.12999999999997</v>
      </c>
      <c r="S9" s="5">
        <f>SUMIFS('Weekly Projections'!$W$2:$W$161,'Weekly Projections'!$D$2:$D$161,$A9)</f>
        <v>196.87000000000003</v>
      </c>
      <c r="T9" s="7">
        <f t="shared" si="0"/>
        <v>3393.4100000000003</v>
      </c>
      <c r="U9" s="5">
        <f t="shared" si="1"/>
        <v>188.5227777777778</v>
      </c>
    </row>
    <row r="10" spans="1:21" x14ac:dyDescent="0.2">
      <c r="A10" s="10" t="s">
        <v>165</v>
      </c>
      <c r="B10" s="5">
        <f>SUMIFS('Weekly Projections'!$F$2:$F$161,'Weekly Projections'!$D$2:$D$161,$A10)</f>
        <v>199.23999999999998</v>
      </c>
      <c r="C10" s="5">
        <f>SUMIFS('Weekly Projections'!$G$2:$G$161,'Weekly Projections'!$D$2:$D$161,$A10)</f>
        <v>207.69000000000003</v>
      </c>
      <c r="D10" s="5">
        <f>SUMIFS('Weekly Projections'!$H$2:$H$161,'Weekly Projections'!$D$2:$D$161,$A10)</f>
        <v>202.88000000000002</v>
      </c>
      <c r="E10" s="5">
        <f>SUMIFS('Weekly Projections'!$I$2:$I$161,'Weekly Projections'!$D$2:$D$161,$A10)</f>
        <v>203.05999999999997</v>
      </c>
      <c r="F10" s="5">
        <f>SUMIFS('Weekly Projections'!$J$2:$J$161,'Weekly Projections'!$D$2:$D$161,$A10)</f>
        <v>199.65000000000003</v>
      </c>
      <c r="G10" s="5">
        <f>SUMIFS('Weekly Projections'!$K$2:$K$161,'Weekly Projections'!$D$2:$D$161,$A10)</f>
        <v>178.77</v>
      </c>
      <c r="H10" s="5">
        <f>SUMIFS('Weekly Projections'!$L$2:$L$161,'Weekly Projections'!$D$2:$D$161,$A10)</f>
        <v>166.08999999999997</v>
      </c>
      <c r="I10" s="5">
        <f>SUMIFS('Weekly Projections'!$M$2:$M$161,'Weekly Projections'!$D$2:$D$161,$A10)</f>
        <v>199.75</v>
      </c>
      <c r="J10" s="5">
        <f>SUMIFS('Weekly Projections'!$N$2:$N$161,'Weekly Projections'!$D$2:$D$161,$A10)</f>
        <v>211.22</v>
      </c>
      <c r="K10" s="5">
        <f>SUMIFS('Weekly Projections'!$O$2:$O$161,'Weekly Projections'!$D$2:$D$161,$A10)</f>
        <v>210.50999999999996</v>
      </c>
      <c r="L10" s="5">
        <f>SUMIFS('Weekly Projections'!$P$2:$P$161,'Weekly Projections'!$D$2:$D$161,$A10)</f>
        <v>158</v>
      </c>
      <c r="M10" s="5">
        <f>SUMIFS('Weekly Projections'!$Q$2:$Q$161,'Weekly Projections'!$D$2:$D$161,$A10)</f>
        <v>199.35999999999996</v>
      </c>
      <c r="N10" s="5">
        <f>SUMIFS('Weekly Projections'!$R$2:$R$161,'Weekly Projections'!$D$2:$D$161,$A10)</f>
        <v>150.86000000000001</v>
      </c>
      <c r="O10" s="5">
        <f>SUMIFS('Weekly Projections'!$S$2:$S$161,'Weekly Projections'!$D$2:$D$161,$A10)</f>
        <v>162.20999999999995</v>
      </c>
      <c r="P10" s="5">
        <f>SUMIFS('Weekly Projections'!$T$2:$T$161,'Weekly Projections'!$D$2:$D$161,$A10)</f>
        <v>194.45</v>
      </c>
      <c r="Q10" s="5">
        <f>SUMIFS('Weekly Projections'!$U$2:$U$161,'Weekly Projections'!$D$2:$D$161,$A10)</f>
        <v>201.67999999999998</v>
      </c>
      <c r="R10" s="5">
        <f>SUMIFS('Weekly Projections'!$V$2:$V$161,'Weekly Projections'!$D$2:$D$161,$A10)</f>
        <v>207.47</v>
      </c>
      <c r="S10" s="5">
        <f>SUMIFS('Weekly Projections'!$W$2:$W$161,'Weekly Projections'!$D$2:$D$161,$A10)</f>
        <v>208.33999999999997</v>
      </c>
      <c r="T10" s="7">
        <f t="shared" si="0"/>
        <v>3461.2299999999996</v>
      </c>
      <c r="U10" s="5">
        <f t="shared" si="1"/>
        <v>192.29055555555553</v>
      </c>
    </row>
    <row r="11" spans="1:21" x14ac:dyDescent="0.2">
      <c r="A11" s="10" t="s">
        <v>182</v>
      </c>
      <c r="B11" s="5">
        <f>SUMIFS('Weekly Projections'!$F$2:$F$161,'Weekly Projections'!$D$2:$D$161,$A11)</f>
        <v>198.40999999999997</v>
      </c>
      <c r="C11" s="5">
        <f>SUMIFS('Weekly Projections'!$G$2:$G$161,'Weekly Projections'!$D$2:$D$161,$A11)</f>
        <v>206.65</v>
      </c>
      <c r="D11" s="5">
        <f>SUMIFS('Weekly Projections'!$H$2:$H$161,'Weekly Projections'!$D$2:$D$161,$A11)</f>
        <v>207.74</v>
      </c>
      <c r="E11" s="5">
        <f>SUMIFS('Weekly Projections'!$I$2:$I$161,'Weekly Projections'!$D$2:$D$161,$A11)</f>
        <v>204.64999999999998</v>
      </c>
      <c r="F11" s="5">
        <f>SUMIFS('Weekly Projections'!$J$2:$J$161,'Weekly Projections'!$D$2:$D$161,$A11)</f>
        <v>210.78</v>
      </c>
      <c r="G11" s="5">
        <f>SUMIFS('Weekly Projections'!$K$2:$K$161,'Weekly Projections'!$D$2:$D$161,$A11)</f>
        <v>162</v>
      </c>
      <c r="H11" s="5">
        <f>SUMIFS('Weekly Projections'!$L$2:$L$161,'Weekly Projections'!$D$2:$D$161,$A11)</f>
        <v>174.13999999999996</v>
      </c>
      <c r="I11" s="5">
        <f>SUMIFS('Weekly Projections'!$M$2:$M$161,'Weekly Projections'!$D$2:$D$161,$A11)</f>
        <v>176.29999999999998</v>
      </c>
      <c r="J11" s="5">
        <f>SUMIFS('Weekly Projections'!$N$2:$N$161,'Weekly Projections'!$D$2:$D$161,$A11)</f>
        <v>206.24999999999997</v>
      </c>
      <c r="K11" s="5">
        <f>SUMIFS('Weekly Projections'!$O$2:$O$161,'Weekly Projections'!$D$2:$D$161,$A11)</f>
        <v>169.95000000000002</v>
      </c>
      <c r="L11" s="5">
        <f>SUMIFS('Weekly Projections'!$P$2:$P$161,'Weekly Projections'!$D$2:$D$161,$A11)</f>
        <v>169.65</v>
      </c>
      <c r="M11" s="5">
        <f>SUMIFS('Weekly Projections'!$Q$2:$Q$161,'Weekly Projections'!$D$2:$D$161,$A11)</f>
        <v>202.02999999999994</v>
      </c>
      <c r="N11" s="5">
        <f>SUMIFS('Weekly Projections'!$R$2:$R$161,'Weekly Projections'!$D$2:$D$161,$A11)</f>
        <v>197.79999999999998</v>
      </c>
      <c r="O11" s="5">
        <f>SUMIFS('Weekly Projections'!$S$2:$S$161,'Weekly Projections'!$D$2:$D$161,$A11)</f>
        <v>199.98999999999998</v>
      </c>
      <c r="P11" s="5">
        <f>SUMIFS('Weekly Projections'!$T$2:$T$161,'Weekly Projections'!$D$2:$D$161,$A11)</f>
        <v>210.41</v>
      </c>
      <c r="Q11" s="5">
        <f>SUMIFS('Weekly Projections'!$U$2:$U$161,'Weekly Projections'!$D$2:$D$161,$A11)</f>
        <v>213.76999999999998</v>
      </c>
      <c r="R11" s="5">
        <f>SUMIFS('Weekly Projections'!$V$2:$V$161,'Weekly Projections'!$D$2:$D$161,$A11)</f>
        <v>205.28</v>
      </c>
      <c r="S11" s="5">
        <f>SUMIFS('Weekly Projections'!$W$2:$W$161,'Weekly Projections'!$D$2:$D$161,$A11)</f>
        <v>205.97999999999996</v>
      </c>
      <c r="T11" s="7">
        <f t="shared" si="0"/>
        <v>3521.7799999999997</v>
      </c>
      <c r="U11" s="5">
        <f t="shared" si="1"/>
        <v>195.65444444444444</v>
      </c>
    </row>
    <row r="12" spans="1:21" x14ac:dyDescent="0.2">
      <c r="A12" s="10" t="s">
        <v>199</v>
      </c>
      <c r="B12" s="5">
        <f>SUMIFS('Weekly Projections'!$F$2:$F$161,'Weekly Projections'!$D$2:$D$161,$A12)</f>
        <v>226.62999999999997</v>
      </c>
      <c r="C12" s="5">
        <f>SUMIFS('Weekly Projections'!$G$2:$G$161,'Weekly Projections'!$D$2:$D$161,$A12)</f>
        <v>218.95999999999998</v>
      </c>
      <c r="D12" s="5">
        <f>SUMIFS('Weekly Projections'!$H$2:$H$161,'Weekly Projections'!$D$2:$D$161,$A12)</f>
        <v>225.31</v>
      </c>
      <c r="E12" s="5">
        <f>SUMIFS('Weekly Projections'!$I$2:$I$161,'Weekly Projections'!$D$2:$D$161,$A12)</f>
        <v>224.82</v>
      </c>
      <c r="F12" s="5">
        <f>SUMIFS('Weekly Projections'!$J$2:$J$161,'Weekly Projections'!$D$2:$D$161,$A12)</f>
        <v>208.84</v>
      </c>
      <c r="G12" s="5">
        <f>SUMIFS('Weekly Projections'!$K$2:$K$161,'Weekly Projections'!$D$2:$D$161,$A12)</f>
        <v>168.2</v>
      </c>
      <c r="H12" s="5">
        <f>SUMIFS('Weekly Projections'!$L$2:$L$161,'Weekly Projections'!$D$2:$D$161,$A12)</f>
        <v>208.82999999999998</v>
      </c>
      <c r="I12" s="5">
        <f>SUMIFS('Weekly Projections'!$M$2:$M$161,'Weekly Projections'!$D$2:$D$161,$A12)</f>
        <v>187.42</v>
      </c>
      <c r="J12" s="5">
        <f>SUMIFS('Weekly Projections'!$N$2:$N$161,'Weekly Projections'!$D$2:$D$161,$A12)</f>
        <v>222.88000000000002</v>
      </c>
      <c r="K12" s="5">
        <f>SUMIFS('Weekly Projections'!$O$2:$O$161,'Weekly Projections'!$D$2:$D$161,$A12)</f>
        <v>195.07999999999998</v>
      </c>
      <c r="L12" s="5">
        <f>SUMIFS('Weekly Projections'!$P$2:$P$161,'Weekly Projections'!$D$2:$D$161,$A12)</f>
        <v>180.80999999999997</v>
      </c>
      <c r="M12" s="5">
        <f>SUMIFS('Weekly Projections'!$Q$2:$Q$161,'Weekly Projections'!$D$2:$D$161,$A12)</f>
        <v>224.57</v>
      </c>
      <c r="N12" s="5">
        <f>SUMIFS('Weekly Projections'!$R$2:$R$161,'Weekly Projections'!$D$2:$D$161,$A12)</f>
        <v>181.08</v>
      </c>
      <c r="O12" s="5">
        <f>SUMIFS('Weekly Projections'!$S$2:$S$161,'Weekly Projections'!$D$2:$D$161,$A12)</f>
        <v>224.55999999999997</v>
      </c>
      <c r="P12" s="5">
        <f>SUMIFS('Weekly Projections'!$T$2:$T$161,'Weekly Projections'!$D$2:$D$161,$A12)</f>
        <v>219.62</v>
      </c>
      <c r="Q12" s="5">
        <f>SUMIFS('Weekly Projections'!$U$2:$U$161,'Weekly Projections'!$D$2:$D$161,$A12)</f>
        <v>221.86</v>
      </c>
      <c r="R12" s="5">
        <f>SUMIFS('Weekly Projections'!$V$2:$V$161,'Weekly Projections'!$D$2:$D$161,$A12)</f>
        <v>218.49999999999997</v>
      </c>
      <c r="S12" s="5">
        <f>SUMIFS('Weekly Projections'!$W$2:$W$161,'Weekly Projections'!$D$2:$D$161,$A12)</f>
        <v>217.29999999999995</v>
      </c>
      <c r="T12" s="7">
        <f t="shared" si="0"/>
        <v>3775.2699999999995</v>
      </c>
      <c r="U12" s="5">
        <f t="shared" si="1"/>
        <v>209.73722222222219</v>
      </c>
    </row>
    <row r="13" spans="1:21" x14ac:dyDescent="0.2">
      <c r="A13" s="10" t="s">
        <v>217</v>
      </c>
      <c r="B13" s="5">
        <f>SUMIFS('Weekly Projections'!$F$2:$F$161,'Weekly Projections'!$D$2:$D$161,$A13)</f>
        <v>216.95999999999998</v>
      </c>
      <c r="C13" s="5">
        <f>SUMIFS('Weekly Projections'!$G$2:$G$161,'Weekly Projections'!$D$2:$D$161,$A13)</f>
        <v>223.79000000000002</v>
      </c>
      <c r="D13" s="5">
        <f>SUMIFS('Weekly Projections'!$H$2:$H$161,'Weekly Projections'!$D$2:$D$161,$A13)</f>
        <v>215.57000000000005</v>
      </c>
      <c r="E13" s="5">
        <f>SUMIFS('Weekly Projections'!$I$2:$I$161,'Weekly Projections'!$D$2:$D$161,$A13)</f>
        <v>220.49000000000004</v>
      </c>
      <c r="F13" s="5">
        <f>SUMIFS('Weekly Projections'!$J$2:$J$161,'Weekly Projections'!$D$2:$D$161,$A13)</f>
        <v>203.74999999999997</v>
      </c>
      <c r="G13" s="5">
        <f>SUMIFS('Weekly Projections'!$K$2:$K$161,'Weekly Projections'!$D$2:$D$161,$A13)</f>
        <v>169.76999999999998</v>
      </c>
      <c r="H13" s="5">
        <f>SUMIFS('Weekly Projections'!$L$2:$L$161,'Weekly Projections'!$D$2:$D$161,$A13)</f>
        <v>209.46000000000004</v>
      </c>
      <c r="I13" s="5">
        <f>SUMIFS('Weekly Projections'!$M$2:$M$161,'Weekly Projections'!$D$2:$D$161,$A13)</f>
        <v>194.05</v>
      </c>
      <c r="J13" s="5">
        <f>SUMIFS('Weekly Projections'!$N$2:$N$161,'Weekly Projections'!$D$2:$D$161,$A13)</f>
        <v>211.74</v>
      </c>
      <c r="K13" s="5">
        <f>SUMIFS('Weekly Projections'!$O$2:$O$161,'Weekly Projections'!$D$2:$D$161,$A13)</f>
        <v>166.41</v>
      </c>
      <c r="L13" s="5">
        <f>SUMIFS('Weekly Projections'!$P$2:$P$161,'Weekly Projections'!$D$2:$D$161,$A13)</f>
        <v>197.89000000000004</v>
      </c>
      <c r="M13" s="5">
        <f>SUMIFS('Weekly Projections'!$Q$2:$Q$161,'Weekly Projections'!$D$2:$D$161,$A13)</f>
        <v>214.27999999999997</v>
      </c>
      <c r="N13" s="5">
        <f>SUMIFS('Weekly Projections'!$R$2:$R$161,'Weekly Projections'!$D$2:$D$161,$A13)</f>
        <v>170.28</v>
      </c>
      <c r="O13" s="5">
        <f>SUMIFS('Weekly Projections'!$S$2:$S$161,'Weekly Projections'!$D$2:$D$161,$A13)</f>
        <v>198.54000000000005</v>
      </c>
      <c r="P13" s="5">
        <f>SUMIFS('Weekly Projections'!$T$2:$T$161,'Weekly Projections'!$D$2:$D$161,$A13)</f>
        <v>213.76</v>
      </c>
      <c r="Q13" s="5">
        <f>SUMIFS('Weekly Projections'!$U$2:$U$161,'Weekly Projections'!$D$2:$D$161,$A13)</f>
        <v>222.05</v>
      </c>
      <c r="R13" s="5">
        <f>SUMIFS('Weekly Projections'!$V$2:$V$161,'Weekly Projections'!$D$2:$D$161,$A13)</f>
        <v>211.09999999999997</v>
      </c>
      <c r="S13" s="5">
        <f>SUMIFS('Weekly Projections'!$W$2:$W$161,'Weekly Projections'!$D$2:$D$161,$A13)</f>
        <v>214.10000000000002</v>
      </c>
      <c r="T13" s="7">
        <f t="shared" si="0"/>
        <v>3673.99</v>
      </c>
      <c r="U13" s="5">
        <f t="shared" si="1"/>
        <v>204.11055555555555</v>
      </c>
    </row>
  </sheetData>
  <conditionalFormatting sqref="B4:S13">
    <cfRule type="colorScale" priority="2">
      <colorScale>
        <cfvo type="min"/>
        <cfvo type="percentile" val="50"/>
        <cfvo type="max"/>
        <color rgb="FFF8CBAD"/>
        <color rgb="FFFFFFFF"/>
        <color rgb="FFA9D08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24" customWidth="1"/>
    <col min="2" max="19" width="7" customWidth="1"/>
    <col min="20" max="20" width="12" customWidth="1"/>
  </cols>
  <sheetData>
    <row r="1" spans="1:20" x14ac:dyDescent="0.2">
      <c r="A1" s="8" t="s">
        <v>235</v>
      </c>
    </row>
    <row r="3" spans="1:20" x14ac:dyDescent="0.2">
      <c r="A3" s="9" t="s">
        <v>3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9" t="s">
        <v>14</v>
      </c>
      <c r="L3" s="9" t="s">
        <v>15</v>
      </c>
      <c r="M3" s="9" t="s">
        <v>16</v>
      </c>
      <c r="N3" s="9" t="s">
        <v>17</v>
      </c>
      <c r="O3" s="9" t="s">
        <v>18</v>
      </c>
      <c r="P3" s="9" t="s">
        <v>19</v>
      </c>
      <c r="Q3" s="9" t="s">
        <v>20</v>
      </c>
      <c r="R3" s="9" t="s">
        <v>21</v>
      </c>
      <c r="S3" s="9" t="s">
        <v>22</v>
      </c>
      <c r="T3" s="9" t="s">
        <v>236</v>
      </c>
    </row>
    <row r="4" spans="1:20" x14ac:dyDescent="0.2">
      <c r="A4" s="10" t="s">
        <v>28</v>
      </c>
      <c r="B4" s="11">
        <f>COUNTIFS('Weekly Projections'!$D$2:$D$161,$A4,'Weekly Projections'!$E$2:$E$161,1)</f>
        <v>0</v>
      </c>
      <c r="C4" s="11">
        <f>COUNTIFS('Weekly Projections'!$D$2:$D$161,$A4,'Weekly Projections'!$E$2:$E$161,2)</f>
        <v>0</v>
      </c>
      <c r="D4" s="11">
        <f>COUNTIFS('Weekly Projections'!$D$2:$D$161,$A4,'Weekly Projections'!$E$2:$E$161,3)</f>
        <v>0</v>
      </c>
      <c r="E4" s="11">
        <f>COUNTIFS('Weekly Projections'!$D$2:$D$161,$A4,'Weekly Projections'!$E$2:$E$161,4)</f>
        <v>0</v>
      </c>
      <c r="F4" s="11">
        <f>COUNTIFS('Weekly Projections'!$D$2:$D$161,$A4,'Weekly Projections'!$E$2:$E$161,5)</f>
        <v>2</v>
      </c>
      <c r="G4" s="11">
        <f>COUNTIFS('Weekly Projections'!$D$2:$D$161,$A4,'Weekly Projections'!$E$2:$E$161,6)</f>
        <v>1</v>
      </c>
      <c r="H4" s="11">
        <f>COUNTIFS('Weekly Projections'!$D$2:$D$161,$A4,'Weekly Projections'!$E$2:$E$161,7)</f>
        <v>4</v>
      </c>
      <c r="I4" s="11">
        <f>COUNTIFS('Weekly Projections'!$D$2:$D$161,$A4,'Weekly Projections'!$E$2:$E$161,8)</f>
        <v>2</v>
      </c>
      <c r="J4" s="11">
        <f>COUNTIFS('Weekly Projections'!$D$2:$D$161,$A4,'Weekly Projections'!$E$2:$E$161,9)</f>
        <v>0</v>
      </c>
      <c r="K4" s="11">
        <f>COUNTIFS('Weekly Projections'!$D$2:$D$161,$A4,'Weekly Projections'!$E$2:$E$161,10)</f>
        <v>1</v>
      </c>
      <c r="L4" s="11">
        <f>COUNTIFS('Weekly Projections'!$D$2:$D$161,$A4,'Weekly Projections'!$E$2:$E$161,11)</f>
        <v>3</v>
      </c>
      <c r="M4" s="11">
        <f>COUNTIFS('Weekly Projections'!$D$2:$D$161,$A4,'Weekly Projections'!$E$2:$E$161,12)</f>
        <v>0</v>
      </c>
      <c r="N4" s="11">
        <f>COUNTIFS('Weekly Projections'!$D$2:$D$161,$A4,'Weekly Projections'!$E$2:$E$161,13)</f>
        <v>1</v>
      </c>
      <c r="O4" s="11">
        <f>COUNTIFS('Weekly Projections'!$D$2:$D$161,$A4,'Weekly Projections'!$E$2:$E$161,14)</f>
        <v>2</v>
      </c>
      <c r="P4" s="11">
        <f>COUNTIFS('Weekly Projections'!$D$2:$D$161,$A4,'Weekly Projections'!$E$2:$E$161,15)</f>
        <v>0</v>
      </c>
      <c r="Q4" s="11">
        <f>COUNTIFS('Weekly Projections'!$D$2:$D$161,$A4,'Weekly Projections'!$E$2:$E$161,16)</f>
        <v>0</v>
      </c>
      <c r="R4" s="11">
        <f>COUNTIFS('Weekly Projections'!$D$2:$D$161,$A4,'Weekly Projections'!$E$2:$E$161,17)</f>
        <v>0</v>
      </c>
      <c r="S4" s="11">
        <f>COUNTIFS('Weekly Projections'!$D$2:$D$161,$A4,'Weekly Projections'!$E$2:$E$161,18)</f>
        <v>0</v>
      </c>
      <c r="T4" s="4">
        <f t="shared" ref="T4:T13" si="0">MAX(B4:S4)</f>
        <v>4</v>
      </c>
    </row>
    <row r="5" spans="1:20" x14ac:dyDescent="0.2">
      <c r="A5" s="10" t="s">
        <v>63</v>
      </c>
      <c r="B5" s="11">
        <f>COUNTIFS('Weekly Projections'!$D$2:$D$161,$A5,'Weekly Projections'!$E$2:$E$161,1)</f>
        <v>0</v>
      </c>
      <c r="C5" s="11">
        <f>COUNTIFS('Weekly Projections'!$D$2:$D$161,$A5,'Weekly Projections'!$E$2:$E$161,2)</f>
        <v>0</v>
      </c>
      <c r="D5" s="11">
        <f>COUNTIFS('Weekly Projections'!$D$2:$D$161,$A5,'Weekly Projections'!$E$2:$E$161,3)</f>
        <v>0</v>
      </c>
      <c r="E5" s="11">
        <f>COUNTIFS('Weekly Projections'!$D$2:$D$161,$A5,'Weekly Projections'!$E$2:$E$161,4)</f>
        <v>0</v>
      </c>
      <c r="F5" s="11">
        <f>COUNTIFS('Weekly Projections'!$D$2:$D$161,$A5,'Weekly Projections'!$E$2:$E$161,5)</f>
        <v>0</v>
      </c>
      <c r="G5" s="11">
        <f>COUNTIFS('Weekly Projections'!$D$2:$D$161,$A5,'Weekly Projections'!$E$2:$E$161,6)</f>
        <v>1</v>
      </c>
      <c r="H5" s="11">
        <f>COUNTIFS('Weekly Projections'!$D$2:$D$161,$A5,'Weekly Projections'!$E$2:$E$161,7)</f>
        <v>1</v>
      </c>
      <c r="I5" s="11">
        <f>COUNTIFS('Weekly Projections'!$D$2:$D$161,$A5,'Weekly Projections'!$E$2:$E$161,8)</f>
        <v>2</v>
      </c>
      <c r="J5" s="11">
        <f>COUNTIFS('Weekly Projections'!$D$2:$D$161,$A5,'Weekly Projections'!$E$2:$E$161,9)</f>
        <v>1</v>
      </c>
      <c r="K5" s="11">
        <f>COUNTIFS('Weekly Projections'!$D$2:$D$161,$A5,'Weekly Projections'!$E$2:$E$161,10)</f>
        <v>4</v>
      </c>
      <c r="L5" s="11">
        <f>COUNTIFS('Weekly Projections'!$D$2:$D$161,$A5,'Weekly Projections'!$E$2:$E$161,11)</f>
        <v>5</v>
      </c>
      <c r="M5" s="11">
        <f>COUNTIFS('Weekly Projections'!$D$2:$D$161,$A5,'Weekly Projections'!$E$2:$E$161,12)</f>
        <v>0</v>
      </c>
      <c r="N5" s="11">
        <f>COUNTIFS('Weekly Projections'!$D$2:$D$161,$A5,'Weekly Projections'!$E$2:$E$161,13)</f>
        <v>1</v>
      </c>
      <c r="O5" s="11">
        <f>COUNTIFS('Weekly Projections'!$D$2:$D$161,$A5,'Weekly Projections'!$E$2:$E$161,14)</f>
        <v>1</v>
      </c>
      <c r="P5" s="11">
        <f>COUNTIFS('Weekly Projections'!$D$2:$D$161,$A5,'Weekly Projections'!$E$2:$E$161,15)</f>
        <v>0</v>
      </c>
      <c r="Q5" s="11">
        <f>COUNTIFS('Weekly Projections'!$D$2:$D$161,$A5,'Weekly Projections'!$E$2:$E$161,16)</f>
        <v>0</v>
      </c>
      <c r="R5" s="11">
        <f>COUNTIFS('Weekly Projections'!$D$2:$D$161,$A5,'Weekly Projections'!$E$2:$E$161,17)</f>
        <v>0</v>
      </c>
      <c r="S5" s="11">
        <f>COUNTIFS('Weekly Projections'!$D$2:$D$161,$A5,'Weekly Projections'!$E$2:$E$161,18)</f>
        <v>0</v>
      </c>
      <c r="T5" s="4">
        <f t="shared" si="0"/>
        <v>5</v>
      </c>
    </row>
    <row r="6" spans="1:20" x14ac:dyDescent="0.2">
      <c r="A6" s="10" t="s">
        <v>85</v>
      </c>
      <c r="B6" s="11">
        <f>COUNTIFS('Weekly Projections'!$D$2:$D$161,$A6,'Weekly Projections'!$E$2:$E$161,1)</f>
        <v>0</v>
      </c>
      <c r="C6" s="11">
        <f>COUNTIFS('Weekly Projections'!$D$2:$D$161,$A6,'Weekly Projections'!$E$2:$E$161,2)</f>
        <v>0</v>
      </c>
      <c r="D6" s="11">
        <f>COUNTIFS('Weekly Projections'!$D$2:$D$161,$A6,'Weekly Projections'!$E$2:$E$161,3)</f>
        <v>0</v>
      </c>
      <c r="E6" s="11">
        <f>COUNTIFS('Weekly Projections'!$D$2:$D$161,$A6,'Weekly Projections'!$E$2:$E$161,4)</f>
        <v>0</v>
      </c>
      <c r="F6" s="11">
        <f>COUNTIFS('Weekly Projections'!$D$2:$D$161,$A6,'Weekly Projections'!$E$2:$E$161,5)</f>
        <v>0</v>
      </c>
      <c r="G6" s="11">
        <f>COUNTIFS('Weekly Projections'!$D$2:$D$161,$A6,'Weekly Projections'!$E$2:$E$161,6)</f>
        <v>1</v>
      </c>
      <c r="H6" s="11">
        <f>COUNTIFS('Weekly Projections'!$D$2:$D$161,$A6,'Weekly Projections'!$E$2:$E$161,7)</f>
        <v>4</v>
      </c>
      <c r="I6" s="11">
        <f>COUNTIFS('Weekly Projections'!$D$2:$D$161,$A6,'Weekly Projections'!$E$2:$E$161,8)</f>
        <v>1</v>
      </c>
      <c r="J6" s="11">
        <f>COUNTIFS('Weekly Projections'!$D$2:$D$161,$A6,'Weekly Projections'!$E$2:$E$161,9)</f>
        <v>2</v>
      </c>
      <c r="K6" s="11">
        <f>COUNTIFS('Weekly Projections'!$D$2:$D$161,$A6,'Weekly Projections'!$E$2:$E$161,10)</f>
        <v>1</v>
      </c>
      <c r="L6" s="11">
        <f>COUNTIFS('Weekly Projections'!$D$2:$D$161,$A6,'Weekly Projections'!$E$2:$E$161,11)</f>
        <v>5</v>
      </c>
      <c r="M6" s="11">
        <f>COUNTIFS('Weekly Projections'!$D$2:$D$161,$A6,'Weekly Projections'!$E$2:$E$161,12)</f>
        <v>0</v>
      </c>
      <c r="N6" s="11">
        <f>COUNTIFS('Weekly Projections'!$D$2:$D$161,$A6,'Weekly Projections'!$E$2:$E$161,13)</f>
        <v>2</v>
      </c>
      <c r="O6" s="11">
        <f>COUNTIFS('Weekly Projections'!$D$2:$D$161,$A6,'Weekly Projections'!$E$2:$E$161,14)</f>
        <v>0</v>
      </c>
      <c r="P6" s="11">
        <f>COUNTIFS('Weekly Projections'!$D$2:$D$161,$A6,'Weekly Projections'!$E$2:$E$161,15)</f>
        <v>0</v>
      </c>
      <c r="Q6" s="11">
        <f>COUNTIFS('Weekly Projections'!$D$2:$D$161,$A6,'Weekly Projections'!$E$2:$E$161,16)</f>
        <v>0</v>
      </c>
      <c r="R6" s="11">
        <f>COUNTIFS('Weekly Projections'!$D$2:$D$161,$A6,'Weekly Projections'!$E$2:$E$161,17)</f>
        <v>0</v>
      </c>
      <c r="S6" s="11">
        <f>COUNTIFS('Weekly Projections'!$D$2:$D$161,$A6,'Weekly Projections'!$E$2:$E$161,18)</f>
        <v>0</v>
      </c>
      <c r="T6" s="4">
        <f t="shared" si="0"/>
        <v>5</v>
      </c>
    </row>
    <row r="7" spans="1:20" x14ac:dyDescent="0.2">
      <c r="A7" s="10" t="s">
        <v>107</v>
      </c>
      <c r="B7" s="11">
        <f>COUNTIFS('Weekly Projections'!$D$2:$D$161,$A7,'Weekly Projections'!$E$2:$E$161,1)</f>
        <v>0</v>
      </c>
      <c r="C7" s="11">
        <f>COUNTIFS('Weekly Projections'!$D$2:$D$161,$A7,'Weekly Projections'!$E$2:$E$161,2)</f>
        <v>0</v>
      </c>
      <c r="D7" s="11">
        <f>COUNTIFS('Weekly Projections'!$D$2:$D$161,$A7,'Weekly Projections'!$E$2:$E$161,3)</f>
        <v>0</v>
      </c>
      <c r="E7" s="11">
        <f>COUNTIFS('Weekly Projections'!$D$2:$D$161,$A7,'Weekly Projections'!$E$2:$E$161,4)</f>
        <v>0</v>
      </c>
      <c r="F7" s="11">
        <f>COUNTIFS('Weekly Projections'!$D$2:$D$161,$A7,'Weekly Projections'!$E$2:$E$161,5)</f>
        <v>1</v>
      </c>
      <c r="G7" s="11">
        <f>COUNTIFS('Weekly Projections'!$D$2:$D$161,$A7,'Weekly Projections'!$E$2:$E$161,6)</f>
        <v>1</v>
      </c>
      <c r="H7" s="11">
        <f>COUNTIFS('Weekly Projections'!$D$2:$D$161,$A7,'Weekly Projections'!$E$2:$E$161,7)</f>
        <v>3</v>
      </c>
      <c r="I7" s="11">
        <f>COUNTIFS('Weekly Projections'!$D$2:$D$161,$A7,'Weekly Projections'!$E$2:$E$161,8)</f>
        <v>0</v>
      </c>
      <c r="J7" s="11">
        <f>COUNTIFS('Weekly Projections'!$D$2:$D$161,$A7,'Weekly Projections'!$E$2:$E$161,9)</f>
        <v>3</v>
      </c>
      <c r="K7" s="11">
        <f>COUNTIFS('Weekly Projections'!$D$2:$D$161,$A7,'Weekly Projections'!$E$2:$E$161,10)</f>
        <v>2</v>
      </c>
      <c r="L7" s="11">
        <f>COUNTIFS('Weekly Projections'!$D$2:$D$161,$A7,'Weekly Projections'!$E$2:$E$161,11)</f>
        <v>3</v>
      </c>
      <c r="M7" s="11">
        <f>COUNTIFS('Weekly Projections'!$D$2:$D$161,$A7,'Weekly Projections'!$E$2:$E$161,12)</f>
        <v>0</v>
      </c>
      <c r="N7" s="11">
        <f>COUNTIFS('Weekly Projections'!$D$2:$D$161,$A7,'Weekly Projections'!$E$2:$E$161,13)</f>
        <v>1</v>
      </c>
      <c r="O7" s="11">
        <f>COUNTIFS('Weekly Projections'!$D$2:$D$161,$A7,'Weekly Projections'!$E$2:$E$161,14)</f>
        <v>2</v>
      </c>
      <c r="P7" s="11">
        <f>COUNTIFS('Weekly Projections'!$D$2:$D$161,$A7,'Weekly Projections'!$E$2:$E$161,15)</f>
        <v>0</v>
      </c>
      <c r="Q7" s="11">
        <f>COUNTIFS('Weekly Projections'!$D$2:$D$161,$A7,'Weekly Projections'!$E$2:$E$161,16)</f>
        <v>0</v>
      </c>
      <c r="R7" s="11">
        <f>COUNTIFS('Weekly Projections'!$D$2:$D$161,$A7,'Weekly Projections'!$E$2:$E$161,17)</f>
        <v>0</v>
      </c>
      <c r="S7" s="11">
        <f>COUNTIFS('Weekly Projections'!$D$2:$D$161,$A7,'Weekly Projections'!$E$2:$E$161,18)</f>
        <v>0</v>
      </c>
      <c r="T7" s="4">
        <f t="shared" si="0"/>
        <v>3</v>
      </c>
    </row>
    <row r="8" spans="1:20" x14ac:dyDescent="0.2">
      <c r="A8" s="10" t="s">
        <v>128</v>
      </c>
      <c r="B8" s="11">
        <f>COUNTIFS('Weekly Projections'!$D$2:$D$161,$A8,'Weekly Projections'!$E$2:$E$161,1)</f>
        <v>0</v>
      </c>
      <c r="C8" s="11">
        <f>COUNTIFS('Weekly Projections'!$D$2:$D$161,$A8,'Weekly Projections'!$E$2:$E$161,2)</f>
        <v>0</v>
      </c>
      <c r="D8" s="11">
        <f>COUNTIFS('Weekly Projections'!$D$2:$D$161,$A8,'Weekly Projections'!$E$2:$E$161,3)</f>
        <v>0</v>
      </c>
      <c r="E8" s="11">
        <f>COUNTIFS('Weekly Projections'!$D$2:$D$161,$A8,'Weekly Projections'!$E$2:$E$161,4)</f>
        <v>0</v>
      </c>
      <c r="F8" s="11">
        <f>COUNTIFS('Weekly Projections'!$D$2:$D$161,$A8,'Weekly Projections'!$E$2:$E$161,5)</f>
        <v>3</v>
      </c>
      <c r="G8" s="11">
        <f>COUNTIFS('Weekly Projections'!$D$2:$D$161,$A8,'Weekly Projections'!$E$2:$E$161,6)</f>
        <v>1</v>
      </c>
      <c r="H8" s="11">
        <f>COUNTIFS('Weekly Projections'!$D$2:$D$161,$A8,'Weekly Projections'!$E$2:$E$161,7)</f>
        <v>0</v>
      </c>
      <c r="I8" s="11">
        <f>COUNTIFS('Weekly Projections'!$D$2:$D$161,$A8,'Weekly Projections'!$E$2:$E$161,8)</f>
        <v>3</v>
      </c>
      <c r="J8" s="11">
        <f>COUNTIFS('Weekly Projections'!$D$2:$D$161,$A8,'Weekly Projections'!$E$2:$E$161,9)</f>
        <v>1</v>
      </c>
      <c r="K8" s="11">
        <f>COUNTIFS('Weekly Projections'!$D$2:$D$161,$A8,'Weekly Projections'!$E$2:$E$161,10)</f>
        <v>3</v>
      </c>
      <c r="L8" s="11">
        <f>COUNTIFS('Weekly Projections'!$D$2:$D$161,$A8,'Weekly Projections'!$E$2:$E$161,11)</f>
        <v>4</v>
      </c>
      <c r="M8" s="11">
        <f>COUNTIFS('Weekly Projections'!$D$2:$D$161,$A8,'Weekly Projections'!$E$2:$E$161,12)</f>
        <v>0</v>
      </c>
      <c r="N8" s="11">
        <f>COUNTIFS('Weekly Projections'!$D$2:$D$161,$A8,'Weekly Projections'!$E$2:$E$161,13)</f>
        <v>1</v>
      </c>
      <c r="O8" s="11">
        <f>COUNTIFS('Weekly Projections'!$D$2:$D$161,$A8,'Weekly Projections'!$E$2:$E$161,14)</f>
        <v>0</v>
      </c>
      <c r="P8" s="11">
        <f>COUNTIFS('Weekly Projections'!$D$2:$D$161,$A8,'Weekly Projections'!$E$2:$E$161,15)</f>
        <v>0</v>
      </c>
      <c r="Q8" s="11">
        <f>COUNTIFS('Weekly Projections'!$D$2:$D$161,$A8,'Weekly Projections'!$E$2:$E$161,16)</f>
        <v>0</v>
      </c>
      <c r="R8" s="11">
        <f>COUNTIFS('Weekly Projections'!$D$2:$D$161,$A8,'Weekly Projections'!$E$2:$E$161,17)</f>
        <v>0</v>
      </c>
      <c r="S8" s="11">
        <f>COUNTIFS('Weekly Projections'!$D$2:$D$161,$A8,'Weekly Projections'!$E$2:$E$161,18)</f>
        <v>0</v>
      </c>
      <c r="T8" s="4">
        <f t="shared" si="0"/>
        <v>4</v>
      </c>
    </row>
    <row r="9" spans="1:20" x14ac:dyDescent="0.2">
      <c r="A9" s="10" t="s">
        <v>147</v>
      </c>
      <c r="B9" s="11">
        <f>COUNTIFS('Weekly Projections'!$D$2:$D$161,$A9,'Weekly Projections'!$E$2:$E$161,1)</f>
        <v>0</v>
      </c>
      <c r="C9" s="11">
        <f>COUNTIFS('Weekly Projections'!$D$2:$D$161,$A9,'Weekly Projections'!$E$2:$E$161,2)</f>
        <v>0</v>
      </c>
      <c r="D9" s="11">
        <f>COUNTIFS('Weekly Projections'!$D$2:$D$161,$A9,'Weekly Projections'!$E$2:$E$161,3)</f>
        <v>0</v>
      </c>
      <c r="E9" s="11">
        <f>COUNTIFS('Weekly Projections'!$D$2:$D$161,$A9,'Weekly Projections'!$E$2:$E$161,4)</f>
        <v>0</v>
      </c>
      <c r="F9" s="11">
        <f>COUNTIFS('Weekly Projections'!$D$2:$D$161,$A9,'Weekly Projections'!$E$2:$E$161,5)</f>
        <v>0</v>
      </c>
      <c r="G9" s="11">
        <f>COUNTIFS('Weekly Projections'!$D$2:$D$161,$A9,'Weekly Projections'!$E$2:$E$161,6)</f>
        <v>4</v>
      </c>
      <c r="H9" s="11">
        <f>COUNTIFS('Weekly Projections'!$D$2:$D$161,$A9,'Weekly Projections'!$E$2:$E$161,7)</f>
        <v>3</v>
      </c>
      <c r="I9" s="11">
        <f>COUNTIFS('Weekly Projections'!$D$2:$D$161,$A9,'Weekly Projections'!$E$2:$E$161,8)</f>
        <v>1</v>
      </c>
      <c r="J9" s="11">
        <f>COUNTIFS('Weekly Projections'!$D$2:$D$161,$A9,'Weekly Projections'!$E$2:$E$161,9)</f>
        <v>0</v>
      </c>
      <c r="K9" s="11">
        <f>COUNTIFS('Weekly Projections'!$D$2:$D$161,$A9,'Weekly Projections'!$E$2:$E$161,10)</f>
        <v>4</v>
      </c>
      <c r="L9" s="11">
        <f>COUNTIFS('Weekly Projections'!$D$2:$D$161,$A9,'Weekly Projections'!$E$2:$E$161,11)</f>
        <v>1</v>
      </c>
      <c r="M9" s="11">
        <f>COUNTIFS('Weekly Projections'!$D$2:$D$161,$A9,'Weekly Projections'!$E$2:$E$161,12)</f>
        <v>0</v>
      </c>
      <c r="N9" s="11">
        <f>COUNTIFS('Weekly Projections'!$D$2:$D$161,$A9,'Weekly Projections'!$E$2:$E$161,13)</f>
        <v>1</v>
      </c>
      <c r="O9" s="11">
        <f>COUNTIFS('Weekly Projections'!$D$2:$D$161,$A9,'Weekly Projections'!$E$2:$E$161,14)</f>
        <v>2</v>
      </c>
      <c r="P9" s="11">
        <f>COUNTIFS('Weekly Projections'!$D$2:$D$161,$A9,'Weekly Projections'!$E$2:$E$161,15)</f>
        <v>0</v>
      </c>
      <c r="Q9" s="11">
        <f>COUNTIFS('Weekly Projections'!$D$2:$D$161,$A9,'Weekly Projections'!$E$2:$E$161,16)</f>
        <v>0</v>
      </c>
      <c r="R9" s="11">
        <f>COUNTIFS('Weekly Projections'!$D$2:$D$161,$A9,'Weekly Projections'!$E$2:$E$161,17)</f>
        <v>0</v>
      </c>
      <c r="S9" s="11">
        <f>COUNTIFS('Weekly Projections'!$D$2:$D$161,$A9,'Weekly Projections'!$E$2:$E$161,18)</f>
        <v>0</v>
      </c>
      <c r="T9" s="4">
        <f t="shared" si="0"/>
        <v>4</v>
      </c>
    </row>
    <row r="10" spans="1:20" x14ac:dyDescent="0.2">
      <c r="A10" s="10" t="s">
        <v>165</v>
      </c>
      <c r="B10" s="11">
        <f>COUNTIFS('Weekly Projections'!$D$2:$D$161,$A10,'Weekly Projections'!$E$2:$E$161,1)</f>
        <v>0</v>
      </c>
      <c r="C10" s="11">
        <f>COUNTIFS('Weekly Projections'!$D$2:$D$161,$A10,'Weekly Projections'!$E$2:$E$161,2)</f>
        <v>0</v>
      </c>
      <c r="D10" s="11">
        <f>COUNTIFS('Weekly Projections'!$D$2:$D$161,$A10,'Weekly Projections'!$E$2:$E$161,3)</f>
        <v>0</v>
      </c>
      <c r="E10" s="11">
        <f>COUNTIFS('Weekly Projections'!$D$2:$D$161,$A10,'Weekly Projections'!$E$2:$E$161,4)</f>
        <v>0</v>
      </c>
      <c r="F10" s="11">
        <f>COUNTIFS('Weekly Projections'!$D$2:$D$161,$A10,'Weekly Projections'!$E$2:$E$161,5)</f>
        <v>0</v>
      </c>
      <c r="G10" s="11">
        <f>COUNTIFS('Weekly Projections'!$D$2:$D$161,$A10,'Weekly Projections'!$E$2:$E$161,6)</f>
        <v>2</v>
      </c>
      <c r="H10" s="11">
        <f>COUNTIFS('Weekly Projections'!$D$2:$D$161,$A10,'Weekly Projections'!$E$2:$E$161,7)</f>
        <v>3</v>
      </c>
      <c r="I10" s="11">
        <f>COUNTIFS('Weekly Projections'!$D$2:$D$161,$A10,'Weekly Projections'!$E$2:$E$161,8)</f>
        <v>1</v>
      </c>
      <c r="J10" s="11">
        <f>COUNTIFS('Weekly Projections'!$D$2:$D$161,$A10,'Weekly Projections'!$E$2:$E$161,9)</f>
        <v>0</v>
      </c>
      <c r="K10" s="11">
        <f>COUNTIFS('Weekly Projections'!$D$2:$D$161,$A10,'Weekly Projections'!$E$2:$E$161,10)</f>
        <v>0</v>
      </c>
      <c r="L10" s="11">
        <f>COUNTIFS('Weekly Projections'!$D$2:$D$161,$A10,'Weekly Projections'!$E$2:$E$161,11)</f>
        <v>4</v>
      </c>
      <c r="M10" s="11">
        <f>COUNTIFS('Weekly Projections'!$D$2:$D$161,$A10,'Weekly Projections'!$E$2:$E$161,12)</f>
        <v>0</v>
      </c>
      <c r="N10" s="11">
        <f>COUNTIFS('Weekly Projections'!$D$2:$D$161,$A10,'Weekly Projections'!$E$2:$E$161,13)</f>
        <v>4</v>
      </c>
      <c r="O10" s="11">
        <f>COUNTIFS('Weekly Projections'!$D$2:$D$161,$A10,'Weekly Projections'!$E$2:$E$161,14)</f>
        <v>2</v>
      </c>
      <c r="P10" s="11">
        <f>COUNTIFS('Weekly Projections'!$D$2:$D$161,$A10,'Weekly Projections'!$E$2:$E$161,15)</f>
        <v>0</v>
      </c>
      <c r="Q10" s="11">
        <f>COUNTIFS('Weekly Projections'!$D$2:$D$161,$A10,'Weekly Projections'!$E$2:$E$161,16)</f>
        <v>0</v>
      </c>
      <c r="R10" s="11">
        <f>COUNTIFS('Weekly Projections'!$D$2:$D$161,$A10,'Weekly Projections'!$E$2:$E$161,17)</f>
        <v>0</v>
      </c>
      <c r="S10" s="11">
        <f>COUNTIFS('Weekly Projections'!$D$2:$D$161,$A10,'Weekly Projections'!$E$2:$E$161,18)</f>
        <v>0</v>
      </c>
      <c r="T10" s="4">
        <f t="shared" si="0"/>
        <v>4</v>
      </c>
    </row>
    <row r="11" spans="1:20" x14ac:dyDescent="0.2">
      <c r="A11" s="10" t="s">
        <v>182</v>
      </c>
      <c r="B11" s="11">
        <f>COUNTIFS('Weekly Projections'!$D$2:$D$161,$A11,'Weekly Projections'!$E$2:$E$161,1)</f>
        <v>0</v>
      </c>
      <c r="C11" s="11">
        <f>COUNTIFS('Weekly Projections'!$D$2:$D$161,$A11,'Weekly Projections'!$E$2:$E$161,2)</f>
        <v>0</v>
      </c>
      <c r="D11" s="11">
        <f>COUNTIFS('Weekly Projections'!$D$2:$D$161,$A11,'Weekly Projections'!$E$2:$E$161,3)</f>
        <v>0</v>
      </c>
      <c r="E11" s="11">
        <f>COUNTIFS('Weekly Projections'!$D$2:$D$161,$A11,'Weekly Projections'!$E$2:$E$161,4)</f>
        <v>0</v>
      </c>
      <c r="F11" s="11">
        <f>COUNTIFS('Weekly Projections'!$D$2:$D$161,$A11,'Weekly Projections'!$E$2:$E$161,5)</f>
        <v>0</v>
      </c>
      <c r="G11" s="11">
        <f>COUNTIFS('Weekly Projections'!$D$2:$D$161,$A11,'Weekly Projections'!$E$2:$E$161,6)</f>
        <v>3</v>
      </c>
      <c r="H11" s="11">
        <f>COUNTIFS('Weekly Projections'!$D$2:$D$161,$A11,'Weekly Projections'!$E$2:$E$161,7)</f>
        <v>2</v>
      </c>
      <c r="I11" s="11">
        <f>COUNTIFS('Weekly Projections'!$D$2:$D$161,$A11,'Weekly Projections'!$E$2:$E$161,8)</f>
        <v>3</v>
      </c>
      <c r="J11" s="11">
        <f>COUNTIFS('Weekly Projections'!$D$2:$D$161,$A11,'Weekly Projections'!$E$2:$E$161,9)</f>
        <v>0</v>
      </c>
      <c r="K11" s="11">
        <f>COUNTIFS('Weekly Projections'!$D$2:$D$161,$A11,'Weekly Projections'!$E$2:$E$161,10)</f>
        <v>3</v>
      </c>
      <c r="L11" s="11">
        <f>COUNTIFS('Weekly Projections'!$D$2:$D$161,$A11,'Weekly Projections'!$E$2:$E$161,11)</f>
        <v>3</v>
      </c>
      <c r="M11" s="11">
        <f>COUNTIFS('Weekly Projections'!$D$2:$D$161,$A11,'Weekly Projections'!$E$2:$E$161,12)</f>
        <v>0</v>
      </c>
      <c r="N11" s="11">
        <f>COUNTIFS('Weekly Projections'!$D$2:$D$161,$A11,'Weekly Projections'!$E$2:$E$161,13)</f>
        <v>1</v>
      </c>
      <c r="O11" s="11">
        <f>COUNTIFS('Weekly Projections'!$D$2:$D$161,$A11,'Weekly Projections'!$E$2:$E$161,14)</f>
        <v>1</v>
      </c>
      <c r="P11" s="11">
        <f>COUNTIFS('Weekly Projections'!$D$2:$D$161,$A11,'Weekly Projections'!$E$2:$E$161,15)</f>
        <v>0</v>
      </c>
      <c r="Q11" s="11">
        <f>COUNTIFS('Weekly Projections'!$D$2:$D$161,$A11,'Weekly Projections'!$E$2:$E$161,16)</f>
        <v>0</v>
      </c>
      <c r="R11" s="11">
        <f>COUNTIFS('Weekly Projections'!$D$2:$D$161,$A11,'Weekly Projections'!$E$2:$E$161,17)</f>
        <v>0</v>
      </c>
      <c r="S11" s="11">
        <f>COUNTIFS('Weekly Projections'!$D$2:$D$161,$A11,'Weekly Projections'!$E$2:$E$161,18)</f>
        <v>0</v>
      </c>
      <c r="T11" s="4">
        <f t="shared" si="0"/>
        <v>3</v>
      </c>
    </row>
    <row r="12" spans="1:20" x14ac:dyDescent="0.2">
      <c r="A12" s="10" t="s">
        <v>199</v>
      </c>
      <c r="B12" s="11">
        <f>COUNTIFS('Weekly Projections'!$D$2:$D$161,$A12,'Weekly Projections'!$E$2:$E$161,1)</f>
        <v>0</v>
      </c>
      <c r="C12" s="11">
        <f>COUNTIFS('Weekly Projections'!$D$2:$D$161,$A12,'Weekly Projections'!$E$2:$E$161,2)</f>
        <v>0</v>
      </c>
      <c r="D12" s="11">
        <f>COUNTIFS('Weekly Projections'!$D$2:$D$161,$A12,'Weekly Projections'!$E$2:$E$161,3)</f>
        <v>0</v>
      </c>
      <c r="E12" s="11">
        <f>COUNTIFS('Weekly Projections'!$D$2:$D$161,$A12,'Weekly Projections'!$E$2:$E$161,4)</f>
        <v>0</v>
      </c>
      <c r="F12" s="11">
        <f>COUNTIFS('Weekly Projections'!$D$2:$D$161,$A12,'Weekly Projections'!$E$2:$E$161,5)</f>
        <v>1</v>
      </c>
      <c r="G12" s="11">
        <f>COUNTIFS('Weekly Projections'!$D$2:$D$161,$A12,'Weekly Projections'!$E$2:$E$161,6)</f>
        <v>4</v>
      </c>
      <c r="H12" s="11">
        <f>COUNTIFS('Weekly Projections'!$D$2:$D$161,$A12,'Weekly Projections'!$E$2:$E$161,7)</f>
        <v>1</v>
      </c>
      <c r="I12" s="11">
        <f>COUNTIFS('Weekly Projections'!$D$2:$D$161,$A12,'Weekly Projections'!$E$2:$E$161,8)</f>
        <v>2</v>
      </c>
      <c r="J12" s="11">
        <f>COUNTIFS('Weekly Projections'!$D$2:$D$161,$A12,'Weekly Projections'!$E$2:$E$161,9)</f>
        <v>0</v>
      </c>
      <c r="K12" s="11">
        <f>COUNTIFS('Weekly Projections'!$D$2:$D$161,$A12,'Weekly Projections'!$E$2:$E$161,10)</f>
        <v>2</v>
      </c>
      <c r="L12" s="11">
        <f>COUNTIFS('Weekly Projections'!$D$2:$D$161,$A12,'Weekly Projections'!$E$2:$E$161,11)</f>
        <v>3</v>
      </c>
      <c r="M12" s="11">
        <f>COUNTIFS('Weekly Projections'!$D$2:$D$161,$A12,'Weekly Projections'!$E$2:$E$161,12)</f>
        <v>0</v>
      </c>
      <c r="N12" s="11">
        <f>COUNTIFS('Weekly Projections'!$D$2:$D$161,$A12,'Weekly Projections'!$E$2:$E$161,13)</f>
        <v>3</v>
      </c>
      <c r="O12" s="11">
        <f>COUNTIFS('Weekly Projections'!$D$2:$D$161,$A12,'Weekly Projections'!$E$2:$E$161,14)</f>
        <v>0</v>
      </c>
      <c r="P12" s="11">
        <f>COUNTIFS('Weekly Projections'!$D$2:$D$161,$A12,'Weekly Projections'!$E$2:$E$161,15)</f>
        <v>0</v>
      </c>
      <c r="Q12" s="11">
        <f>COUNTIFS('Weekly Projections'!$D$2:$D$161,$A12,'Weekly Projections'!$E$2:$E$161,16)</f>
        <v>0</v>
      </c>
      <c r="R12" s="11">
        <f>COUNTIFS('Weekly Projections'!$D$2:$D$161,$A12,'Weekly Projections'!$E$2:$E$161,17)</f>
        <v>0</v>
      </c>
      <c r="S12" s="11">
        <f>COUNTIFS('Weekly Projections'!$D$2:$D$161,$A12,'Weekly Projections'!$E$2:$E$161,18)</f>
        <v>0</v>
      </c>
      <c r="T12" s="4">
        <f t="shared" si="0"/>
        <v>4</v>
      </c>
    </row>
    <row r="13" spans="1:20" x14ac:dyDescent="0.2">
      <c r="A13" s="10" t="s">
        <v>217</v>
      </c>
      <c r="B13" s="11">
        <f>COUNTIFS('Weekly Projections'!$D$2:$D$161,$A13,'Weekly Projections'!$E$2:$E$161,1)</f>
        <v>0</v>
      </c>
      <c r="C13" s="11">
        <f>COUNTIFS('Weekly Projections'!$D$2:$D$161,$A13,'Weekly Projections'!$E$2:$E$161,2)</f>
        <v>0</v>
      </c>
      <c r="D13" s="11">
        <f>COUNTIFS('Weekly Projections'!$D$2:$D$161,$A13,'Weekly Projections'!$E$2:$E$161,3)</f>
        <v>0</v>
      </c>
      <c r="E13" s="11">
        <f>COUNTIFS('Weekly Projections'!$D$2:$D$161,$A13,'Weekly Projections'!$E$2:$E$161,4)</f>
        <v>0</v>
      </c>
      <c r="F13" s="11">
        <f>COUNTIFS('Weekly Projections'!$D$2:$D$161,$A13,'Weekly Projections'!$E$2:$E$161,5)</f>
        <v>1</v>
      </c>
      <c r="G13" s="11">
        <f>COUNTIFS('Weekly Projections'!$D$2:$D$161,$A13,'Weekly Projections'!$E$2:$E$161,6)</f>
        <v>3</v>
      </c>
      <c r="H13" s="11">
        <f>COUNTIFS('Weekly Projections'!$D$2:$D$161,$A13,'Weekly Projections'!$E$2:$E$161,7)</f>
        <v>1</v>
      </c>
      <c r="I13" s="11">
        <f>COUNTIFS('Weekly Projections'!$D$2:$D$161,$A13,'Weekly Projections'!$E$2:$E$161,8)</f>
        <v>1</v>
      </c>
      <c r="J13" s="11">
        <f>COUNTIFS('Weekly Projections'!$D$2:$D$161,$A13,'Weekly Projections'!$E$2:$E$161,9)</f>
        <v>1</v>
      </c>
      <c r="K13" s="11">
        <f>COUNTIFS('Weekly Projections'!$D$2:$D$161,$A13,'Weekly Projections'!$E$2:$E$161,10)</f>
        <v>4</v>
      </c>
      <c r="L13" s="11">
        <f>COUNTIFS('Weekly Projections'!$D$2:$D$161,$A13,'Weekly Projections'!$E$2:$E$161,11)</f>
        <v>1</v>
      </c>
      <c r="M13" s="11">
        <f>COUNTIFS('Weekly Projections'!$D$2:$D$161,$A13,'Weekly Projections'!$E$2:$E$161,12)</f>
        <v>0</v>
      </c>
      <c r="N13" s="11">
        <f>COUNTIFS('Weekly Projections'!$D$2:$D$161,$A13,'Weekly Projections'!$E$2:$E$161,13)</f>
        <v>3</v>
      </c>
      <c r="O13" s="11">
        <f>COUNTIFS('Weekly Projections'!$D$2:$D$161,$A13,'Weekly Projections'!$E$2:$E$161,14)</f>
        <v>1</v>
      </c>
      <c r="P13" s="11">
        <f>COUNTIFS('Weekly Projections'!$D$2:$D$161,$A13,'Weekly Projections'!$E$2:$E$161,15)</f>
        <v>0</v>
      </c>
      <c r="Q13" s="11">
        <f>COUNTIFS('Weekly Projections'!$D$2:$D$161,$A13,'Weekly Projections'!$E$2:$E$161,16)</f>
        <v>0</v>
      </c>
      <c r="R13" s="11">
        <f>COUNTIFS('Weekly Projections'!$D$2:$D$161,$A13,'Weekly Projections'!$E$2:$E$161,17)</f>
        <v>0</v>
      </c>
      <c r="S13" s="11">
        <f>COUNTIFS('Weekly Projections'!$D$2:$D$161,$A13,'Weekly Projections'!$E$2:$E$161,18)</f>
        <v>0</v>
      </c>
      <c r="T13" s="4">
        <f t="shared" si="0"/>
        <v>4</v>
      </c>
    </row>
  </sheetData>
  <conditionalFormatting sqref="B4:S13">
    <cfRule type="cellIs" dxfId="1" priority="2" operator="greaterThanOrEqual">
      <formula>4</formula>
    </cfRule>
    <cfRule type="cellIs" dxfId="0" priority="3" operator="equal">
      <formula>3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zoomScaleNormal="100" workbookViewId="0"/>
  </sheetViews>
  <sheetFormatPr baseColWidth="10" defaultColWidth="8.6640625" defaultRowHeight="15" x14ac:dyDescent="0.2"/>
  <cols>
    <col min="1" max="1" width="24" customWidth="1"/>
    <col min="2" max="8" width="11" customWidth="1"/>
  </cols>
  <sheetData>
    <row r="1" spans="1:8" x14ac:dyDescent="0.2">
      <c r="A1" s="8" t="s">
        <v>237</v>
      </c>
    </row>
    <row r="3" spans="1:8" x14ac:dyDescent="0.2">
      <c r="A3" s="12" t="s">
        <v>3</v>
      </c>
      <c r="B3" s="12" t="s">
        <v>26</v>
      </c>
      <c r="C3" s="12" t="s">
        <v>32</v>
      </c>
      <c r="D3" s="12" t="s">
        <v>41</v>
      </c>
      <c r="E3" s="12" t="s">
        <v>48</v>
      </c>
      <c r="F3" s="12" t="s">
        <v>53</v>
      </c>
      <c r="G3" s="12" t="s">
        <v>58</v>
      </c>
      <c r="H3" s="12" t="s">
        <v>238</v>
      </c>
    </row>
    <row r="4" spans="1:8" x14ac:dyDescent="0.2">
      <c r="A4" s="10" t="s">
        <v>28</v>
      </c>
      <c r="B4" s="5">
        <f>SUMIFS('Weekly Projections'!$X$2:$X$161,'Weekly Projections'!$D$2:$D$161,$A4,'Weekly Projections'!$B$2:$B$161,"TQB")</f>
        <v>697.6</v>
      </c>
      <c r="C4" s="5">
        <f>SUMIFS('Weekly Projections'!$X$2:$X$161,'Weekly Projections'!$D$2:$D$161,$A4,'Weekly Projections'!$B$2:$B$161,"RB")</f>
        <v>944.57</v>
      </c>
      <c r="D4" s="5">
        <f>SUMIFS('Weekly Projections'!$X$2:$X$161,'Weekly Projections'!$D$2:$D$161,$A4,'Weekly Projections'!$B$2:$B$161,"WR")</f>
        <v>1004.92</v>
      </c>
      <c r="E4" s="5">
        <f>SUMIFS('Weekly Projections'!$X$2:$X$161,'Weekly Projections'!$D$2:$D$161,$A4,'Weekly Projections'!$B$2:$B$161,"TE")</f>
        <v>403.21</v>
      </c>
      <c r="F4" s="5">
        <f>SUMIFS('Weekly Projections'!$X$2:$X$161,'Weekly Projections'!$D$2:$D$161,$A4,'Weekly Projections'!$B$2:$B$161,"D/ST")</f>
        <v>281.46000000000004</v>
      </c>
      <c r="G4" s="5">
        <f>SUMIFS('Weekly Projections'!$X$2:$X$161,'Weekly Projections'!$D$2:$D$161,$A4,'Weekly Projections'!$B$2:$B$161,"K")</f>
        <v>300.07000000000005</v>
      </c>
      <c r="H4" s="7">
        <f t="shared" ref="H4:H13" si="0">SUM(B4:G4)</f>
        <v>3631.8300000000004</v>
      </c>
    </row>
    <row r="5" spans="1:8" x14ac:dyDescent="0.2">
      <c r="A5" s="10" t="s">
        <v>63</v>
      </c>
      <c r="B5" s="5">
        <f>SUMIFS('Weekly Projections'!$X$2:$X$161,'Weekly Projections'!$D$2:$D$161,$A5,'Weekly Projections'!$B$2:$B$161,"TQB")</f>
        <v>700.86000000000013</v>
      </c>
      <c r="C5" s="5">
        <f>SUMIFS('Weekly Projections'!$X$2:$X$161,'Weekly Projections'!$D$2:$D$161,$A5,'Weekly Projections'!$B$2:$B$161,"RB")</f>
        <v>814.13</v>
      </c>
      <c r="D5" s="5">
        <f>SUMIFS('Weekly Projections'!$X$2:$X$161,'Weekly Projections'!$D$2:$D$161,$A5,'Weekly Projections'!$B$2:$B$161,"WR")</f>
        <v>1025.9699999999998</v>
      </c>
      <c r="E5" s="5">
        <f>SUMIFS('Weekly Projections'!$X$2:$X$161,'Weekly Projections'!$D$2:$D$161,$A5,'Weekly Projections'!$B$2:$B$161,"TE")</f>
        <v>355.75</v>
      </c>
      <c r="F5" s="5">
        <f>SUMIFS('Weekly Projections'!$X$2:$X$161,'Weekly Projections'!$D$2:$D$161,$A5,'Weekly Projections'!$B$2:$B$161,"D/ST")</f>
        <v>279.13</v>
      </c>
      <c r="G5" s="5">
        <f>SUMIFS('Weekly Projections'!$X$2:$X$161,'Weekly Projections'!$D$2:$D$161,$A5,'Weekly Projections'!$B$2:$B$161,"K")</f>
        <v>278.60000000000002</v>
      </c>
      <c r="H5" s="7">
        <f t="shared" si="0"/>
        <v>3454.44</v>
      </c>
    </row>
    <row r="6" spans="1:8" x14ac:dyDescent="0.2">
      <c r="A6" s="10" t="s">
        <v>85</v>
      </c>
      <c r="B6" s="5">
        <f>SUMIFS('Weekly Projections'!$X$2:$X$161,'Weekly Projections'!$D$2:$D$161,$A6,'Weekly Projections'!$B$2:$B$161,"TQB")</f>
        <v>714.96</v>
      </c>
      <c r="C6" s="5">
        <f>SUMIFS('Weekly Projections'!$X$2:$X$161,'Weekly Projections'!$D$2:$D$161,$A6,'Weekly Projections'!$B$2:$B$161,"RB")</f>
        <v>1013.9200000000001</v>
      </c>
      <c r="D6" s="5">
        <f>SUMIFS('Weekly Projections'!$X$2:$X$161,'Weekly Projections'!$D$2:$D$161,$A6,'Weekly Projections'!$B$2:$B$161,"WR")</f>
        <v>959.57999999999993</v>
      </c>
      <c r="E6" s="5">
        <f>SUMIFS('Weekly Projections'!$X$2:$X$161,'Weekly Projections'!$D$2:$D$161,$A6,'Weekly Projections'!$B$2:$B$161,"TE")</f>
        <v>407.82</v>
      </c>
      <c r="F6" s="5">
        <f>SUMIFS('Weekly Projections'!$X$2:$X$161,'Weekly Projections'!$D$2:$D$161,$A6,'Weekly Projections'!$B$2:$B$161,"D/ST")</f>
        <v>277.49</v>
      </c>
      <c r="G6" s="5">
        <f>SUMIFS('Weekly Projections'!$X$2:$X$161,'Weekly Projections'!$D$2:$D$161,$A6,'Weekly Projections'!$B$2:$B$161,"K")</f>
        <v>296.33000000000004</v>
      </c>
      <c r="H6" s="7">
        <f t="shared" si="0"/>
        <v>3670.1000000000004</v>
      </c>
    </row>
    <row r="7" spans="1:8" x14ac:dyDescent="0.2">
      <c r="A7" s="10" t="s">
        <v>107</v>
      </c>
      <c r="B7" s="5">
        <f>SUMIFS('Weekly Projections'!$X$2:$X$161,'Weekly Projections'!$D$2:$D$161,$A7,'Weekly Projections'!$B$2:$B$161,"TQB")</f>
        <v>723.26</v>
      </c>
      <c r="C7" s="5">
        <f>SUMIFS('Weekly Projections'!$X$2:$X$161,'Weekly Projections'!$D$2:$D$161,$A7,'Weekly Projections'!$B$2:$B$161,"RB")</f>
        <v>922.41</v>
      </c>
      <c r="D7" s="5">
        <f>SUMIFS('Weekly Projections'!$X$2:$X$161,'Weekly Projections'!$D$2:$D$161,$A7,'Weekly Projections'!$B$2:$B$161,"WR")</f>
        <v>869.58999999999992</v>
      </c>
      <c r="E7" s="5">
        <f>SUMIFS('Weekly Projections'!$X$2:$X$161,'Weekly Projections'!$D$2:$D$161,$A7,'Weekly Projections'!$B$2:$B$161,"TE")</f>
        <v>385.51000000000005</v>
      </c>
      <c r="F7" s="5">
        <f>SUMIFS('Weekly Projections'!$X$2:$X$161,'Weekly Projections'!$D$2:$D$161,$A7,'Weekly Projections'!$B$2:$B$161,"D/ST")</f>
        <v>254.93</v>
      </c>
      <c r="G7" s="5">
        <f>SUMIFS('Weekly Projections'!$X$2:$X$161,'Weekly Projections'!$D$2:$D$161,$A7,'Weekly Projections'!$B$2:$B$161,"K")</f>
        <v>275.96000000000004</v>
      </c>
      <c r="H7" s="7">
        <f t="shared" si="0"/>
        <v>3431.6600000000003</v>
      </c>
    </row>
    <row r="8" spans="1:8" x14ac:dyDescent="0.2">
      <c r="A8" s="10" t="s">
        <v>128</v>
      </c>
      <c r="B8" s="5">
        <f>SUMIFS('Weekly Projections'!$X$2:$X$161,'Weekly Projections'!$D$2:$D$161,$A8,'Weekly Projections'!$B$2:$B$161,"TQB")</f>
        <v>683.05</v>
      </c>
      <c r="C8" s="5">
        <f>SUMIFS('Weekly Projections'!$X$2:$X$161,'Weekly Projections'!$D$2:$D$161,$A8,'Weekly Projections'!$B$2:$B$161,"RB")</f>
        <v>1035.3000000000002</v>
      </c>
      <c r="D8" s="5">
        <f>SUMIFS('Weekly Projections'!$X$2:$X$161,'Weekly Projections'!$D$2:$D$161,$A8,'Weekly Projections'!$B$2:$B$161,"WR")</f>
        <v>963.01</v>
      </c>
      <c r="E8" s="5">
        <f>SUMIFS('Weekly Projections'!$X$2:$X$161,'Weekly Projections'!$D$2:$D$161,$A8,'Weekly Projections'!$B$2:$B$161,"TE")</f>
        <v>336.33</v>
      </c>
      <c r="F8" s="5">
        <f>SUMIFS('Weekly Projections'!$X$2:$X$161,'Weekly Projections'!$D$2:$D$161,$A8,'Weekly Projections'!$B$2:$B$161,"D/ST")</f>
        <v>267.02</v>
      </c>
      <c r="G8" s="5">
        <f>SUMIFS('Weekly Projections'!$X$2:$X$161,'Weekly Projections'!$D$2:$D$161,$A8,'Weekly Projections'!$B$2:$B$161,"K")</f>
        <v>287.11</v>
      </c>
      <c r="H8" s="7">
        <f t="shared" si="0"/>
        <v>3571.82</v>
      </c>
    </row>
    <row r="9" spans="1:8" x14ac:dyDescent="0.2">
      <c r="A9" s="10" t="s">
        <v>147</v>
      </c>
      <c r="B9" s="5">
        <f>SUMIFS('Weekly Projections'!$X$2:$X$161,'Weekly Projections'!$D$2:$D$161,$A9,'Weekly Projections'!$B$2:$B$161,"TQB")</f>
        <v>664.95</v>
      </c>
      <c r="C9" s="5">
        <f>SUMIFS('Weekly Projections'!$X$2:$X$161,'Weekly Projections'!$D$2:$D$161,$A9,'Weekly Projections'!$B$2:$B$161,"RB")</f>
        <v>749.36</v>
      </c>
      <c r="D9" s="5">
        <f>SUMIFS('Weekly Projections'!$X$2:$X$161,'Weekly Projections'!$D$2:$D$161,$A9,'Weekly Projections'!$B$2:$B$161,"WR")</f>
        <v>1059.08</v>
      </c>
      <c r="E9" s="5">
        <f>SUMIFS('Weekly Projections'!$X$2:$X$161,'Weekly Projections'!$D$2:$D$161,$A9,'Weekly Projections'!$B$2:$B$161,"TE")</f>
        <v>361.56</v>
      </c>
      <c r="F9" s="5">
        <f>SUMIFS('Weekly Projections'!$X$2:$X$161,'Weekly Projections'!$D$2:$D$161,$A9,'Weekly Projections'!$B$2:$B$161,"D/ST")</f>
        <v>244.65</v>
      </c>
      <c r="G9" s="5">
        <f>SUMIFS('Weekly Projections'!$X$2:$X$161,'Weekly Projections'!$D$2:$D$161,$A9,'Weekly Projections'!$B$2:$B$161,"K")</f>
        <v>313.80999999999995</v>
      </c>
      <c r="H9" s="7">
        <f t="shared" si="0"/>
        <v>3393.41</v>
      </c>
    </row>
    <row r="10" spans="1:8" x14ac:dyDescent="0.2">
      <c r="A10" s="10" t="s">
        <v>165</v>
      </c>
      <c r="B10" s="5">
        <f>SUMIFS('Weekly Projections'!$X$2:$X$161,'Weekly Projections'!$D$2:$D$161,$A10,'Weekly Projections'!$B$2:$B$161,"TQB")</f>
        <v>624.88</v>
      </c>
      <c r="C10" s="5">
        <f>SUMIFS('Weekly Projections'!$X$2:$X$161,'Weekly Projections'!$D$2:$D$161,$A10,'Weekly Projections'!$B$2:$B$161,"RB")</f>
        <v>848.84999999999991</v>
      </c>
      <c r="D10" s="5">
        <f>SUMIFS('Weekly Projections'!$X$2:$X$161,'Weekly Projections'!$D$2:$D$161,$A10,'Weekly Projections'!$B$2:$B$161,"WR")</f>
        <v>1048.19</v>
      </c>
      <c r="E10" s="5">
        <f>SUMIFS('Weekly Projections'!$X$2:$X$161,'Weekly Projections'!$D$2:$D$161,$A10,'Weekly Projections'!$B$2:$B$161,"TE")</f>
        <v>381.05999999999995</v>
      </c>
      <c r="F10" s="5">
        <f>SUMIFS('Weekly Projections'!$X$2:$X$161,'Weekly Projections'!$D$2:$D$161,$A10,'Weekly Projections'!$B$2:$B$161,"D/ST")</f>
        <v>266.90000000000003</v>
      </c>
      <c r="G10" s="5">
        <f>SUMIFS('Weekly Projections'!$X$2:$X$161,'Weekly Projections'!$D$2:$D$161,$A10,'Weekly Projections'!$B$2:$B$161,"K")</f>
        <v>291.34999999999997</v>
      </c>
      <c r="H10" s="7">
        <f t="shared" si="0"/>
        <v>3461.23</v>
      </c>
    </row>
    <row r="11" spans="1:8" x14ac:dyDescent="0.2">
      <c r="A11" s="10" t="s">
        <v>182</v>
      </c>
      <c r="B11" s="5">
        <f>SUMIFS('Weekly Projections'!$X$2:$X$161,'Weekly Projections'!$D$2:$D$161,$A11,'Weekly Projections'!$B$2:$B$161,"TQB")</f>
        <v>665.75</v>
      </c>
      <c r="C11" s="5">
        <f>SUMIFS('Weekly Projections'!$X$2:$X$161,'Weekly Projections'!$D$2:$D$161,$A11,'Weekly Projections'!$B$2:$B$161,"RB")</f>
        <v>933.46</v>
      </c>
      <c r="D11" s="5">
        <f>SUMIFS('Weekly Projections'!$X$2:$X$161,'Weekly Projections'!$D$2:$D$161,$A11,'Weekly Projections'!$B$2:$B$161,"WR")</f>
        <v>1011.86</v>
      </c>
      <c r="E11" s="5">
        <f>SUMIFS('Weekly Projections'!$X$2:$X$161,'Weekly Projections'!$D$2:$D$161,$A11,'Weekly Projections'!$B$2:$B$161,"TE")</f>
        <v>379.79999999999995</v>
      </c>
      <c r="F11" s="5">
        <f>SUMIFS('Weekly Projections'!$X$2:$X$161,'Weekly Projections'!$D$2:$D$161,$A11,'Weekly Projections'!$B$2:$B$161,"D/ST")</f>
        <v>250.48</v>
      </c>
      <c r="G11" s="5">
        <f>SUMIFS('Weekly Projections'!$X$2:$X$161,'Weekly Projections'!$D$2:$D$161,$A11,'Weekly Projections'!$B$2:$B$161,"K")</f>
        <v>280.42999999999995</v>
      </c>
      <c r="H11" s="7">
        <f t="shared" si="0"/>
        <v>3521.7799999999997</v>
      </c>
    </row>
    <row r="12" spans="1:8" x14ac:dyDescent="0.2">
      <c r="A12" s="10" t="s">
        <v>199</v>
      </c>
      <c r="B12" s="5">
        <f>SUMIFS('Weekly Projections'!$X$2:$X$161,'Weekly Projections'!$D$2:$D$161,$A12,'Weekly Projections'!$B$2:$B$161,"TQB")</f>
        <v>690.97</v>
      </c>
      <c r="C12" s="5">
        <f>SUMIFS('Weekly Projections'!$X$2:$X$161,'Weekly Projections'!$D$2:$D$161,$A12,'Weekly Projections'!$B$2:$B$161,"RB")</f>
        <v>1157.46</v>
      </c>
      <c r="D12" s="5">
        <f>SUMIFS('Weekly Projections'!$X$2:$X$161,'Weekly Projections'!$D$2:$D$161,$A12,'Weekly Projections'!$B$2:$B$161,"WR")</f>
        <v>963.87999999999988</v>
      </c>
      <c r="E12" s="5">
        <f>SUMIFS('Weekly Projections'!$X$2:$X$161,'Weekly Projections'!$D$2:$D$161,$A12,'Weekly Projections'!$B$2:$B$161,"TE")</f>
        <v>366.74000000000007</v>
      </c>
      <c r="F12" s="5">
        <f>SUMIFS('Weekly Projections'!$X$2:$X$161,'Weekly Projections'!$D$2:$D$161,$A12,'Weekly Projections'!$B$2:$B$161,"D/ST")</f>
        <v>289.93</v>
      </c>
      <c r="G12" s="5">
        <f>SUMIFS('Weekly Projections'!$X$2:$X$161,'Weekly Projections'!$D$2:$D$161,$A12,'Weekly Projections'!$B$2:$B$161,"K")</f>
        <v>306.28999999999996</v>
      </c>
      <c r="H12" s="7">
        <f t="shared" si="0"/>
        <v>3775.27</v>
      </c>
    </row>
    <row r="13" spans="1:8" x14ac:dyDescent="0.2">
      <c r="A13" s="10" t="s">
        <v>217</v>
      </c>
      <c r="B13" s="5">
        <f>SUMIFS('Weekly Projections'!$X$2:$X$161,'Weekly Projections'!$D$2:$D$161,$A13,'Weekly Projections'!$B$2:$B$161,"TQB")</f>
        <v>702.17000000000007</v>
      </c>
      <c r="C13" s="5">
        <f>SUMIFS('Weekly Projections'!$X$2:$X$161,'Weekly Projections'!$D$2:$D$161,$A13,'Weekly Projections'!$B$2:$B$161,"RB")</f>
        <v>1055.5100000000002</v>
      </c>
      <c r="D13" s="5">
        <f>SUMIFS('Weekly Projections'!$X$2:$X$161,'Weekly Projections'!$D$2:$D$161,$A13,'Weekly Projections'!$B$2:$B$161,"WR")</f>
        <v>1007.8400000000001</v>
      </c>
      <c r="E13" s="5">
        <f>SUMIFS('Weekly Projections'!$X$2:$X$161,'Weekly Projections'!$D$2:$D$161,$A13,'Weekly Projections'!$B$2:$B$161,"TE")</f>
        <v>332.01</v>
      </c>
      <c r="F13" s="5">
        <f>SUMIFS('Weekly Projections'!$X$2:$X$161,'Weekly Projections'!$D$2:$D$161,$A13,'Weekly Projections'!$B$2:$B$161,"D/ST")</f>
        <v>281.66999999999996</v>
      </c>
      <c r="G13" s="5">
        <f>SUMIFS('Weekly Projections'!$X$2:$X$161,'Weekly Projections'!$D$2:$D$161,$A13,'Weekly Projections'!$B$2:$B$161,"K")</f>
        <v>294.78999999999996</v>
      </c>
      <c r="H13" s="7">
        <f t="shared" si="0"/>
        <v>3673.9900000000007</v>
      </c>
    </row>
  </sheetData>
  <conditionalFormatting sqref="B4:G13">
    <cfRule type="colorScale" priority="2">
      <colorScale>
        <cfvo type="min"/>
        <cfvo type="percentile" val="50"/>
        <cfvo type="max"/>
        <color rgb="FFF8CBAD"/>
        <color rgb="FFFFFFFF"/>
        <color rgb="FFA9D08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11" customWidth="1"/>
    <col min="3" max="3" width="24" customWidth="1"/>
  </cols>
  <sheetData>
    <row r="1" spans="1:3" x14ac:dyDescent="0.2">
      <c r="A1" s="12" t="s">
        <v>2</v>
      </c>
      <c r="B1" s="12" t="s">
        <v>239</v>
      </c>
      <c r="C1" s="12" t="s">
        <v>240</v>
      </c>
    </row>
    <row r="2" spans="1:3" x14ac:dyDescent="0.2">
      <c r="A2" s="3" t="s">
        <v>39</v>
      </c>
      <c r="B2" s="3">
        <v>5</v>
      </c>
      <c r="C2" s="3">
        <f>COUNTIF('Weekly Projections'!$C$2:$C$161,$A2)</f>
        <v>2</v>
      </c>
    </row>
    <row r="3" spans="1:3" x14ac:dyDescent="0.2">
      <c r="A3" s="3" t="s">
        <v>112</v>
      </c>
      <c r="B3" s="3">
        <v>5</v>
      </c>
      <c r="C3" s="3">
        <f>COUNTIF('Weekly Projections'!$C$2:$C$161,$A3)</f>
        <v>6</v>
      </c>
    </row>
    <row r="4" spans="1:3" x14ac:dyDescent="0.2">
      <c r="A4" s="3" t="s">
        <v>150</v>
      </c>
      <c r="B4" s="3">
        <v>6</v>
      </c>
      <c r="C4" s="3">
        <f>COUNTIF('Weekly Projections'!$C$2:$C$161,$A4)</f>
        <v>6</v>
      </c>
    </row>
    <row r="5" spans="1:3" x14ac:dyDescent="0.2">
      <c r="A5" s="3" t="s">
        <v>76</v>
      </c>
      <c r="B5" s="3">
        <v>6</v>
      </c>
      <c r="C5" s="3">
        <f>COUNTIF('Weekly Projections'!$C$2:$C$161,$A5)</f>
        <v>8</v>
      </c>
    </row>
    <row r="6" spans="1:3" x14ac:dyDescent="0.2">
      <c r="A6" s="3" t="s">
        <v>203</v>
      </c>
      <c r="B6" s="3">
        <v>6</v>
      </c>
      <c r="C6" s="3">
        <f>COUNTIF('Weekly Projections'!$C$2:$C$161,$A6)</f>
        <v>1</v>
      </c>
    </row>
    <row r="7" spans="1:3" x14ac:dyDescent="0.2">
      <c r="A7" s="3" t="s">
        <v>61</v>
      </c>
      <c r="B7" s="3">
        <v>6</v>
      </c>
      <c r="C7" s="3">
        <f>COUNTIF('Weekly Projections'!$C$2:$C$161,$A7)</f>
        <v>6</v>
      </c>
    </row>
    <row r="8" spans="1:3" x14ac:dyDescent="0.2">
      <c r="A8" s="3" t="s">
        <v>105</v>
      </c>
      <c r="B8" s="3">
        <v>7</v>
      </c>
      <c r="C8" s="3">
        <f>COUNTIF('Weekly Projections'!$C$2:$C$161,$A8)</f>
        <v>6</v>
      </c>
    </row>
    <row r="9" spans="1:3" x14ac:dyDescent="0.2">
      <c r="A9" s="3" t="s">
        <v>56</v>
      </c>
      <c r="B9" s="3">
        <v>7</v>
      </c>
      <c r="C9" s="3">
        <f>COUNTIF('Weekly Projections'!$C$2:$C$161,$A9)</f>
        <v>7</v>
      </c>
    </row>
    <row r="10" spans="1:3" x14ac:dyDescent="0.2">
      <c r="A10" s="3" t="s">
        <v>30</v>
      </c>
      <c r="B10" s="3">
        <v>7</v>
      </c>
      <c r="C10" s="3">
        <f>COUNTIF('Weekly Projections'!$C$2:$C$161,$A10)</f>
        <v>5</v>
      </c>
    </row>
    <row r="11" spans="1:3" x14ac:dyDescent="0.2">
      <c r="A11" s="3" t="s">
        <v>27</v>
      </c>
      <c r="B11" s="3">
        <v>7</v>
      </c>
      <c r="C11" s="3">
        <f>COUNTIF('Weekly Projections'!$C$2:$C$161,$A11)</f>
        <v>4</v>
      </c>
    </row>
    <row r="12" spans="1:3" x14ac:dyDescent="0.2">
      <c r="A12" s="3" t="s">
        <v>59</v>
      </c>
      <c r="B12" s="3">
        <v>8</v>
      </c>
      <c r="C12" s="3">
        <f>COUNTIF('Weekly Projections'!$C$2:$C$161,$A12)</f>
        <v>4</v>
      </c>
    </row>
    <row r="13" spans="1:3" x14ac:dyDescent="0.2">
      <c r="A13" s="3" t="s">
        <v>51</v>
      </c>
      <c r="B13" s="3">
        <v>8</v>
      </c>
      <c r="C13" s="3">
        <f>COUNTIF('Weekly Projections'!$C$2:$C$161,$A13)</f>
        <v>3</v>
      </c>
    </row>
    <row r="14" spans="1:3" x14ac:dyDescent="0.2">
      <c r="A14" s="3" t="s">
        <v>78</v>
      </c>
      <c r="B14" s="3">
        <v>8</v>
      </c>
      <c r="C14" s="3">
        <f>COUNTIF('Weekly Projections'!$C$2:$C$161,$A14)</f>
        <v>4</v>
      </c>
    </row>
    <row r="15" spans="1:3" x14ac:dyDescent="0.2">
      <c r="A15" s="3" t="s">
        <v>127</v>
      </c>
      <c r="B15" s="3">
        <v>8</v>
      </c>
      <c r="C15" s="3">
        <f>COUNTIF('Weekly Projections'!$C$2:$C$161,$A15)</f>
        <v>5</v>
      </c>
    </row>
    <row r="16" spans="1:3" x14ac:dyDescent="0.2">
      <c r="A16" s="3" t="s">
        <v>82</v>
      </c>
      <c r="B16" s="3">
        <v>9</v>
      </c>
      <c r="C16" s="3">
        <f>COUNTIF('Weekly Projections'!$C$2:$C$161,$A16)</f>
        <v>6</v>
      </c>
    </row>
    <row r="17" spans="1:3" x14ac:dyDescent="0.2">
      <c r="A17" s="3" t="s">
        <v>90</v>
      </c>
      <c r="B17" s="3">
        <v>9</v>
      </c>
      <c r="C17" s="3">
        <f>COUNTIF('Weekly Projections'!$C$2:$C$161,$A17)</f>
        <v>2</v>
      </c>
    </row>
    <row r="18" spans="1:3" x14ac:dyDescent="0.2">
      <c r="A18" s="3" t="s">
        <v>102</v>
      </c>
      <c r="B18" s="3">
        <v>10</v>
      </c>
      <c r="C18" s="3">
        <f>COUNTIF('Weekly Projections'!$C$2:$C$161,$A18)</f>
        <v>7</v>
      </c>
    </row>
    <row r="19" spans="1:3" x14ac:dyDescent="0.2">
      <c r="A19" s="3" t="s">
        <v>54</v>
      </c>
      <c r="B19" s="3">
        <v>10</v>
      </c>
      <c r="C19" s="3">
        <f>COUNTIF('Weekly Projections'!$C$2:$C$161,$A19)</f>
        <v>6</v>
      </c>
    </row>
    <row r="20" spans="1:3" x14ac:dyDescent="0.2">
      <c r="A20" s="3" t="s">
        <v>66</v>
      </c>
      <c r="B20" s="3">
        <v>10</v>
      </c>
      <c r="C20" s="3">
        <f>COUNTIF('Weekly Projections'!$C$2:$C$161,$A20)</f>
        <v>7</v>
      </c>
    </row>
    <row r="21" spans="1:3" x14ac:dyDescent="0.2">
      <c r="A21" s="3" t="s">
        <v>135</v>
      </c>
      <c r="B21" s="3">
        <v>10</v>
      </c>
      <c r="C21" s="3">
        <f>COUNTIF('Weekly Projections'!$C$2:$C$161,$A21)</f>
        <v>4</v>
      </c>
    </row>
    <row r="22" spans="1:3" x14ac:dyDescent="0.2">
      <c r="A22" s="3" t="s">
        <v>131</v>
      </c>
      <c r="B22" s="3">
        <v>11</v>
      </c>
      <c r="C22" s="3">
        <f>COUNTIF('Weekly Projections'!$C$2:$C$161,$A22)</f>
        <v>5</v>
      </c>
    </row>
    <row r="23" spans="1:3" x14ac:dyDescent="0.2">
      <c r="A23" s="3" t="s">
        <v>120</v>
      </c>
      <c r="B23" s="3">
        <v>11</v>
      </c>
      <c r="C23" s="3">
        <f>COUNTIF('Weekly Projections'!$C$2:$C$161,$A23)</f>
        <v>3</v>
      </c>
    </row>
    <row r="24" spans="1:3" x14ac:dyDescent="0.2">
      <c r="A24" s="3" t="s">
        <v>46</v>
      </c>
      <c r="B24" s="3">
        <v>11</v>
      </c>
      <c r="C24" s="3">
        <f>COUNTIF('Weekly Projections'!$C$2:$C$161,$A24)</f>
        <v>6</v>
      </c>
    </row>
    <row r="25" spans="1:3" x14ac:dyDescent="0.2">
      <c r="A25" s="3" t="s">
        <v>35</v>
      </c>
      <c r="B25" s="3">
        <v>11</v>
      </c>
      <c r="C25" s="3">
        <f>COUNTIF('Weekly Projections'!$C$2:$C$161,$A25)</f>
        <v>6</v>
      </c>
    </row>
    <row r="26" spans="1:3" x14ac:dyDescent="0.2">
      <c r="A26" s="3" t="s">
        <v>37</v>
      </c>
      <c r="B26" s="3">
        <v>11</v>
      </c>
      <c r="C26" s="3">
        <f>COUNTIF('Weekly Projections'!$C$2:$C$161,$A26)</f>
        <v>7</v>
      </c>
    </row>
    <row r="27" spans="1:3" x14ac:dyDescent="0.2">
      <c r="A27" s="3" t="s">
        <v>100</v>
      </c>
      <c r="B27" s="3">
        <v>11</v>
      </c>
      <c r="C27" s="3">
        <f>COUNTIF('Weekly Projections'!$C$2:$C$161,$A27)</f>
        <v>5</v>
      </c>
    </row>
    <row r="28" spans="1:3" x14ac:dyDescent="0.2">
      <c r="A28" s="3" t="s">
        <v>33</v>
      </c>
      <c r="B28" s="3">
        <v>13</v>
      </c>
      <c r="C28" s="3">
        <f>COUNTIF('Weekly Projections'!$C$2:$C$161,$A28)</f>
        <v>6</v>
      </c>
    </row>
    <row r="29" spans="1:3" x14ac:dyDescent="0.2">
      <c r="A29" s="3" t="s">
        <v>109</v>
      </c>
      <c r="B29" s="3">
        <v>13</v>
      </c>
      <c r="C29" s="3">
        <f>COUNTIF('Weekly Projections'!$C$2:$C$161,$A29)</f>
        <v>5</v>
      </c>
    </row>
    <row r="30" spans="1:3" x14ac:dyDescent="0.2">
      <c r="A30" s="3" t="s">
        <v>97</v>
      </c>
      <c r="B30" s="3">
        <v>13</v>
      </c>
      <c r="C30" s="3">
        <f>COUNTIF('Weekly Projections'!$C$2:$C$161,$A30)</f>
        <v>4</v>
      </c>
    </row>
    <row r="31" spans="1:3" x14ac:dyDescent="0.2">
      <c r="A31" s="3" t="s">
        <v>68</v>
      </c>
      <c r="B31" s="3">
        <v>13</v>
      </c>
      <c r="C31" s="3">
        <f>COUNTIF('Weekly Projections'!$C$2:$C$161,$A31)</f>
        <v>3</v>
      </c>
    </row>
    <row r="32" spans="1:3" x14ac:dyDescent="0.2">
      <c r="A32" s="3" t="s">
        <v>49</v>
      </c>
      <c r="B32" s="3">
        <v>14</v>
      </c>
      <c r="C32" s="3">
        <f>COUNTIF('Weekly Projections'!$C$2:$C$161,$A32)</f>
        <v>4</v>
      </c>
    </row>
    <row r="33" spans="1:3" x14ac:dyDescent="0.2">
      <c r="A33" s="3" t="s">
        <v>42</v>
      </c>
      <c r="B33" s="3">
        <v>14</v>
      </c>
      <c r="C33" s="3">
        <f>COUNTIF('Weekly Projections'!$C$2:$C$161,$A33)</f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9"/>
  <sheetViews>
    <sheetView zoomScaleNormal="100" workbookViewId="0"/>
  </sheetViews>
  <sheetFormatPr baseColWidth="10" defaultColWidth="8.6640625" defaultRowHeight="15" x14ac:dyDescent="0.2"/>
  <cols>
    <col min="1" max="1" width="26" customWidth="1"/>
    <col min="2" max="2" width="120" customWidth="1"/>
  </cols>
  <sheetData>
    <row r="1" spans="1:2" ht="16" x14ac:dyDescent="0.2">
      <c r="A1" s="13" t="s">
        <v>241</v>
      </c>
      <c r="B1" s="14"/>
    </row>
    <row r="2" spans="1:2" x14ac:dyDescent="0.2">
      <c r="A2" s="14"/>
      <c r="B2" s="14"/>
    </row>
    <row r="3" spans="1:2" x14ac:dyDescent="0.2">
      <c r="A3" s="15" t="s">
        <v>242</v>
      </c>
      <c r="B3" s="14" t="s">
        <v>243</v>
      </c>
    </row>
    <row r="4" spans="1:2" x14ac:dyDescent="0.2">
      <c r="A4" s="15" t="s">
        <v>244</v>
      </c>
      <c r="B4" s="14" t="s">
        <v>245</v>
      </c>
    </row>
    <row r="5" spans="1:2" x14ac:dyDescent="0.2">
      <c r="A5" s="15" t="s">
        <v>246</v>
      </c>
      <c r="B5" s="14" t="s">
        <v>247</v>
      </c>
    </row>
    <row r="6" spans="1:2" x14ac:dyDescent="0.2">
      <c r="A6" s="15" t="s">
        <v>248</v>
      </c>
      <c r="B6" s="14" t="s">
        <v>249</v>
      </c>
    </row>
    <row r="7" spans="1:2" x14ac:dyDescent="0.2">
      <c r="A7" s="14"/>
      <c r="B7" s="14"/>
    </row>
    <row r="8" spans="1:2" x14ac:dyDescent="0.2">
      <c r="A8" s="15" t="s">
        <v>250</v>
      </c>
      <c r="B8" s="14" t="s">
        <v>251</v>
      </c>
    </row>
    <row r="9" spans="1:2" x14ac:dyDescent="0.2">
      <c r="A9" s="14"/>
      <c r="B9" s="14" t="s">
        <v>252</v>
      </c>
    </row>
    <row r="10" spans="1:2" x14ac:dyDescent="0.2">
      <c r="A10" s="14"/>
      <c r="B10" s="14" t="s">
        <v>253</v>
      </c>
    </row>
    <row r="11" spans="1:2" x14ac:dyDescent="0.2">
      <c r="A11" s="14"/>
      <c r="B11" s="14" t="s">
        <v>254</v>
      </c>
    </row>
    <row r="12" spans="1:2" x14ac:dyDescent="0.2">
      <c r="A12" s="14"/>
      <c r="B12" s="14"/>
    </row>
    <row r="13" spans="1:2" x14ac:dyDescent="0.2">
      <c r="A13" s="15" t="s">
        <v>255</v>
      </c>
      <c r="B13" s="14" t="s">
        <v>256</v>
      </c>
    </row>
    <row r="14" spans="1:2" x14ac:dyDescent="0.2">
      <c r="A14" s="14"/>
      <c r="B14" s="14" t="s">
        <v>257</v>
      </c>
    </row>
    <row r="15" spans="1:2" x14ac:dyDescent="0.2">
      <c r="A15" s="14"/>
      <c r="B15" s="14"/>
    </row>
    <row r="16" spans="1:2" x14ac:dyDescent="0.2">
      <c r="A16" s="15" t="s">
        <v>258</v>
      </c>
      <c r="B16" s="14" t="s">
        <v>259</v>
      </c>
    </row>
    <row r="17" spans="1:2" x14ac:dyDescent="0.2">
      <c r="A17" s="14"/>
      <c r="B17" s="14"/>
    </row>
    <row r="18" spans="1:2" x14ac:dyDescent="0.2">
      <c r="A18" s="15" t="s">
        <v>260</v>
      </c>
      <c r="B18" s="14" t="s">
        <v>261</v>
      </c>
    </row>
    <row r="19" spans="1:2" x14ac:dyDescent="0.2">
      <c r="A19" s="14"/>
      <c r="B19" s="14" t="s">
        <v>262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Weekly Projections</vt:lpstr>
      <vt:lpstr>Team Weekly Totals</vt:lpstr>
      <vt:lpstr>Players on Bye</vt:lpstr>
      <vt:lpstr>By Position</vt:lpstr>
      <vt:lpstr>Bye Schedule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Josh Baltzell</cp:lastModifiedBy>
  <cp:revision>0</cp:revision>
  <dcterms:created xsi:type="dcterms:W3CDTF">2026-08-26T21:17:40Z</dcterms:created>
  <dcterms:modified xsi:type="dcterms:W3CDTF">2026-08-26T21:20:45Z</dcterms:modified>
  <dc:language>en-US</dc:language>
</cp:coreProperties>
</file>